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Assessment" sheetId="2" state="visible" r:id="rId2"/>
    <sheet name="Results Dashboard" sheetId="3" state="visible" r:id="rId3"/>
    <sheet name="Rubric Reference"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Calibri"/>
      <b val="1"/>
      <color rgb="00FFFFFF"/>
      <sz val="18"/>
    </font>
    <font>
      <name val="Calibri"/>
      <b val="1"/>
      <color rgb="001B2A4A"/>
      <sz val="13"/>
    </font>
    <font>
      <name val="Calibri"/>
      <color rgb="001E293B"/>
      <sz val="11"/>
    </font>
    <font>
      <name val="Calibri"/>
      <b val="1"/>
      <color rgb="001E293B"/>
      <sz val="11"/>
    </font>
    <font>
      <name val="Calibri"/>
      <b val="1"/>
      <color rgb="00FFFFFF"/>
      <sz val="11"/>
    </font>
    <font>
      <name val="Calibri"/>
      <b val="1"/>
      <color rgb="00FFFFFF"/>
      <sz val="12"/>
    </font>
    <font>
      <name val="Calibri"/>
      <color rgb="00475569"/>
      <sz val="10"/>
    </font>
    <font>
      <name val="Calibri"/>
      <b val="1"/>
      <color rgb="001E293B"/>
      <sz val="12"/>
    </font>
    <font>
      <name val="Calibri"/>
      <b val="1"/>
      <color rgb="00334155"/>
      <sz val="11"/>
    </font>
    <font>
      <name val="Calibri"/>
      <b val="1"/>
      <color rgb="001B2A4A"/>
      <sz val="24"/>
    </font>
    <font>
      <name val="Calibri"/>
      <b val="1"/>
      <color rgb="001B2A4A"/>
      <sz val="14"/>
    </font>
    <font>
      <name val="Calibri"/>
      <b val="1"/>
      <color rgb="001E293B"/>
      <sz val="10"/>
    </font>
  </fonts>
  <fills count="10">
    <fill>
      <patternFill/>
    </fill>
    <fill>
      <patternFill patternType="gray125"/>
    </fill>
    <fill>
      <patternFill patternType="solid">
        <fgColor rgb="001B2A4A"/>
      </patternFill>
    </fill>
    <fill>
      <patternFill patternType="solid">
        <fgColor rgb="00EFF6FF"/>
      </patternFill>
    </fill>
    <fill>
      <patternFill patternType="solid">
        <fgColor rgb="00FFFDE7"/>
      </patternFill>
    </fill>
    <fill>
      <patternFill patternType="solid">
        <fgColor rgb="00334155"/>
      </patternFill>
    </fill>
    <fill>
      <patternFill patternType="solid">
        <fgColor rgb="00FFFFFF"/>
      </patternFill>
    </fill>
    <fill>
      <patternFill patternType="solid">
        <fgColor rgb="00FFF1F2"/>
      </patternFill>
    </fill>
    <fill>
      <patternFill patternType="solid">
        <fgColor rgb="00FEFCE8"/>
      </patternFill>
    </fill>
    <fill>
      <patternFill patternType="solid">
        <fgColor rgb="00F0FDF4"/>
      </patternFill>
    </fill>
  </fills>
  <borders count="5">
    <border>
      <left/>
      <right/>
      <top/>
      <bottom/>
      <diagonal/>
    </border>
    <border>
      <left style="medium">
        <color rgb="0093C5FD"/>
      </left>
    </border>
    <border>
      <left style="thin">
        <color rgb="00F9A825"/>
      </left>
      <right style="thin">
        <color rgb="00F9A825"/>
      </right>
      <top style="thin">
        <color rgb="00F9A825"/>
      </top>
      <bottom style="thin">
        <color rgb="00F9A825"/>
      </bottom>
    </border>
    <border>
      <left style="thin">
        <color rgb="00E2E8F0"/>
      </left>
      <right style="thin">
        <color rgb="00E2E8F0"/>
      </right>
      <top style="thin">
        <color rgb="00E2E8F0"/>
      </top>
      <bottom style="thin">
        <color rgb="00E2E8F0"/>
      </bottom>
    </border>
    <border>
      <bottom style="thin">
        <color rgb="00E2E8F0"/>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3" borderId="1" applyAlignment="1" pivotButton="0" quotePrefix="0" xfId="0">
      <alignment horizontal="left" vertical="center" wrapText="1"/>
    </xf>
    <xf numFmtId="0" fontId="3" fillId="0" borderId="0" applyAlignment="1" pivotButton="0" quotePrefix="0" xfId="0">
      <alignment horizontal="left" vertical="top" wrapText="1"/>
    </xf>
    <xf numFmtId="0" fontId="4" fillId="0" borderId="0" applyAlignment="1" pivotButton="0" quotePrefix="0" xfId="0">
      <alignment horizontal="left" vertical="center" wrapText="1"/>
    </xf>
    <xf numFmtId="0" fontId="3" fillId="4" borderId="2" applyAlignment="1" pivotButton="0" quotePrefix="0" xfId="0">
      <alignment horizontal="left" vertical="center" wrapText="1"/>
    </xf>
    <xf numFmtId="0" fontId="5" fillId="5" borderId="3" applyAlignment="1" pivotButton="0" quotePrefix="0" xfId="0">
      <alignment horizontal="center" vertical="center" wrapText="1"/>
    </xf>
    <xf numFmtId="0" fontId="6" fillId="2" borderId="0" applyAlignment="1" pivotButton="0" quotePrefix="0" xfId="0">
      <alignment horizontal="left" vertical="center"/>
    </xf>
    <xf numFmtId="0" fontId="7" fillId="6" borderId="4" applyAlignment="1" pivotButton="0" quotePrefix="0" xfId="0">
      <alignment horizontal="center" vertical="center" wrapText="1"/>
    </xf>
    <xf numFmtId="0" fontId="7" fillId="6" borderId="4" applyAlignment="1" pivotButton="0" quotePrefix="0" xfId="0">
      <alignment horizontal="left" vertical="top" wrapText="1"/>
    </xf>
    <xf numFmtId="0" fontId="3" fillId="6" borderId="4" applyAlignment="1" pivotButton="0" quotePrefix="0" xfId="0">
      <alignment horizontal="left" vertical="top" wrapText="1"/>
    </xf>
    <xf numFmtId="0" fontId="8" fillId="4" borderId="2" applyAlignment="1" pivotButton="0" quotePrefix="0" xfId="0">
      <alignment horizontal="center" vertical="center" wrapText="1"/>
    </xf>
    <xf numFmtId="164" fontId="4" fillId="6" borderId="4" applyAlignment="1" pivotButton="0" quotePrefix="0" xfId="0">
      <alignment horizontal="center" vertical="center" wrapText="1"/>
    </xf>
    <xf numFmtId="0" fontId="3" fillId="4" borderId="2" applyAlignment="1" pivotButton="0" quotePrefix="0" xfId="0">
      <alignment horizontal="left" vertical="top" wrapText="1"/>
    </xf>
    <xf numFmtId="0" fontId="3" fillId="0" borderId="0" applyAlignment="1" pivotButton="0" quotePrefix="0" xfId="0">
      <alignment horizontal="left" vertical="center" wrapText="1"/>
    </xf>
    <xf numFmtId="2" fontId="0" fillId="0" borderId="0" pivotButton="0" quotePrefix="0" xfId="0"/>
    <xf numFmtId="0" fontId="9" fillId="3" borderId="3" applyAlignment="1" pivotButton="0" quotePrefix="0" xfId="0">
      <alignment horizontal="center" vertical="center" wrapText="1"/>
    </xf>
    <xf numFmtId="0" fontId="0" fillId="3" borderId="3" pivotButton="0" quotePrefix="0" xfId="0"/>
    <xf numFmtId="49" fontId="10" fillId="6" borderId="3" applyAlignment="1" pivotButton="0" quotePrefix="0" xfId="0">
      <alignment horizontal="center" vertical="center" wrapText="1"/>
    </xf>
    <xf numFmtId="0" fontId="0" fillId="0" borderId="3" pivotButton="0" quotePrefix="0" xfId="0"/>
    <xf numFmtId="0" fontId="11" fillId="6" borderId="3" applyAlignment="1" pivotButton="0" quotePrefix="0" xfId="0">
      <alignment horizontal="center" vertical="center" wrapText="1"/>
    </xf>
    <xf numFmtId="0" fontId="4" fillId="3" borderId="3" applyAlignment="1" pivotButton="0" quotePrefix="0" xfId="0">
      <alignment horizontal="left" vertical="center" wrapText="1"/>
    </xf>
    <xf numFmtId="2" fontId="4" fillId="3" borderId="3" applyAlignment="1" pivotButton="0" quotePrefix="0" xfId="0">
      <alignment horizontal="center" vertical="center" wrapText="1"/>
    </xf>
    <xf numFmtId="0" fontId="4" fillId="3" borderId="3" applyAlignment="1" pivotButton="0" quotePrefix="0" xfId="0">
      <alignment horizontal="center" vertical="center" wrapText="1"/>
    </xf>
    <xf numFmtId="0" fontId="3" fillId="6" borderId="4" applyAlignment="1" pivotButton="0" quotePrefix="0" xfId="0">
      <alignment horizontal="left" vertical="center" wrapText="1"/>
    </xf>
    <xf numFmtId="2" fontId="4" fillId="6" borderId="4" applyAlignment="1" pivotButton="0" quotePrefix="0" xfId="0">
      <alignment horizontal="center" vertical="center" wrapText="1"/>
    </xf>
    <xf numFmtId="0" fontId="3" fillId="6" borderId="4" applyAlignment="1" pivotButton="0" quotePrefix="0" xfId="0">
      <alignment horizontal="center" vertical="center" wrapText="1"/>
    </xf>
    <xf numFmtId="0" fontId="7" fillId="0" borderId="0" applyAlignment="1" pivotButton="0" quotePrefix="0" xfId="0">
      <alignment horizontal="left" vertical="top" wrapText="1"/>
    </xf>
    <xf numFmtId="0" fontId="4" fillId="3" borderId="1" applyAlignment="1" pivotButton="0" quotePrefix="0" xfId="0">
      <alignment horizontal="left" vertical="center" wrapText="1"/>
    </xf>
    <xf numFmtId="0" fontId="0" fillId="3" borderId="0" pivotButton="0" quotePrefix="0" xfId="0"/>
    <xf numFmtId="0" fontId="12" fillId="7" borderId="3" applyAlignment="1" pivotButton="0" quotePrefix="0" xfId="0">
      <alignment horizontal="center" vertical="center" wrapText="1"/>
    </xf>
    <xf numFmtId="0" fontId="3" fillId="7" borderId="3" applyAlignment="1" pivotButton="0" quotePrefix="0" xfId="0">
      <alignment horizontal="left" vertical="top" wrapText="1"/>
    </xf>
    <xf numFmtId="0" fontId="12" fillId="8" borderId="3" applyAlignment="1" pivotButton="0" quotePrefix="0" xfId="0">
      <alignment horizontal="center" vertical="center" wrapText="1"/>
    </xf>
    <xf numFmtId="0" fontId="3" fillId="8" borderId="3" applyAlignment="1" pivotButton="0" quotePrefix="0" xfId="0">
      <alignment horizontal="left" vertical="top" wrapText="1"/>
    </xf>
    <xf numFmtId="0" fontId="12" fillId="9" borderId="3" applyAlignment="1" pivotButton="0" quotePrefix="0" xfId="0">
      <alignment horizontal="center" vertical="center" wrapText="1"/>
    </xf>
    <xf numFmtId="0" fontId="3" fillId="9" borderId="3" applyAlignment="1" pivotButton="0" quotePrefix="0" xfId="0">
      <alignment horizontal="left" vertical="top" wrapText="1"/>
    </xf>
  </cellXfs>
  <cellStyles count="1">
    <cellStyle name="Normal" xfId="0" builtinId="0" hidden="0"/>
  </cellStyles>
  <dxfs count="4">
    <dxf>
      <fill>
        <patternFill patternType="solid">
          <fgColor rgb="00FEE2E2"/>
        </patternFill>
      </fill>
    </dxf>
    <dxf>
      <fill>
        <patternFill patternType="solid">
          <fgColor rgb="00FED7AA"/>
        </patternFill>
      </fill>
    </dxf>
    <dxf>
      <fill>
        <patternFill patternType="solid">
          <fgColor rgb="00FEF9C3"/>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Maturity by Category</a:t>
            </a:r>
          </a:p>
        </rich>
      </tx>
    </title>
    <plotArea>
      <barChart>
        <barDir val="col"/>
        <grouping val="clustered"/>
        <ser>
          <idx val="0"/>
          <order val="0"/>
          <tx>
            <strRef>
              <f>'Results Dashboard'!N2</f>
            </strRef>
          </tx>
          <spPr>
            <a:ln>
              <a:prstDash val="solid"/>
            </a:ln>
          </spPr>
          <cat>
            <numRef>
              <f>'Results Dashboard'!$M$3:$M$9</f>
            </numRef>
          </cat>
          <val>
            <numRef>
              <f>'Results Dashboard'!$N$3:$N$9</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12</row>
      <rowOff>0</rowOff>
    </from>
    <ext cx="792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B2A4A"/>
    <outlinePr summaryBelow="1" summaryRight="1"/>
    <pageSetUpPr/>
  </sheetPr>
  <dimension ref="A1:C46"/>
  <sheetViews>
    <sheetView workbookViewId="0">
      <selection activeCell="A1" sqref="A1"/>
    </sheetView>
  </sheetViews>
  <sheetFormatPr baseColWidth="8" defaultRowHeight="15"/>
  <cols>
    <col width="3" customWidth="1" min="1" max="1"/>
    <col width="90" customWidth="1" min="2" max="2"/>
    <col width="3" customWidth="1" min="3" max="3"/>
  </cols>
  <sheetData>
    <row r="1" ht="50" customHeight="1">
      <c r="A1" s="1" t="inlineStr">
        <is>
          <t xml:space="preserve">  DEBMM Assessment Tool</t>
        </is>
      </c>
      <c r="B1" s="2" t="n"/>
      <c r="C1" s="2" t="n"/>
    </row>
    <row r="3" ht="28" customHeight="1">
      <c r="B3" s="3" t="inlineStr">
        <is>
          <t>About This Assessment</t>
        </is>
      </c>
    </row>
    <row r="4">
      <c r="B4" s="4" t="inlineStr">
        <is>
          <t>This spreadsheet assesses your detection engineering team's maturity using Elastic's Detection Engineering Behavior Maturity Model (DEBMM), enriched with organizational dimensions from detectionengineering.io.</t>
        </is>
      </c>
    </row>
    <row r="5">
      <c r="B5" s="4" t="inlineStr"/>
    </row>
    <row r="6">
      <c r="B6" s="4" t="inlineStr">
        <is>
          <t>It covers 21 criteria across 7 categories, with 41 dropdown questions total.</t>
        </is>
      </c>
    </row>
    <row r="7">
      <c r="B7" s="4" t="inlineStr">
        <is>
          <t>All questions are answered via dropdowns (Yes/No or Scale 1-5). No free-text required.</t>
        </is>
      </c>
    </row>
    <row r="9" ht="28" customHeight="1">
      <c r="B9" s="3" t="inlineStr">
        <is>
          <t>How to Use</t>
        </is>
      </c>
    </row>
    <row r="10">
      <c r="B10" s="4" t="inlineStr">
        <is>
          <t>1.  Fill in your organization details at the top of the Assessment tab</t>
        </is>
      </c>
    </row>
    <row r="11">
      <c r="B11" s="4" t="inlineStr">
        <is>
          <t>2.  Answer each question using the dropdown menus</t>
        </is>
      </c>
    </row>
    <row r="12">
      <c r="B12" s="4" t="inlineStr">
        <is>
          <t>3.  For Yes/No questions — select from the dropdown</t>
        </is>
      </c>
    </row>
    <row r="13">
      <c r="B13" s="4" t="inlineStr">
        <is>
          <t>4.  For Scale questions (1-5) — select your maturity rating</t>
        </is>
      </c>
    </row>
    <row r="14">
      <c r="B14" s="4" t="inlineStr">
        <is>
          <t>5.  Switch to the Results Dashboard tab to see scores calculated automatically</t>
        </is>
      </c>
    </row>
    <row r="16" ht="28" customHeight="1">
      <c r="B16" s="3" t="inlineStr">
        <is>
          <t>Maturity Levels</t>
        </is>
      </c>
    </row>
    <row r="17">
      <c r="B17" s="4" t="inlineStr">
        <is>
          <t>Each criterion is scored on a 1–5 scale:</t>
        </is>
      </c>
    </row>
    <row r="18">
      <c r="B18" s="4" t="inlineStr"/>
    </row>
    <row r="19">
      <c r="B19" s="4" t="inlineStr">
        <is>
          <t xml:space="preserve">  1 — Initial          Minimal or no structured activity</t>
        </is>
      </c>
    </row>
    <row r="20">
      <c r="B20" s="4" t="inlineStr">
        <is>
          <t xml:space="preserve">  2 — Repeatable    Sporadic, inconsistent efforts</t>
        </is>
      </c>
    </row>
    <row r="21">
      <c r="B21" s="4" t="inlineStr">
        <is>
          <t xml:space="preserve">  3 — Defined         Regular, documented processes followed consistently</t>
        </is>
      </c>
    </row>
    <row r="22">
      <c r="B22" s="4" t="inlineStr">
        <is>
          <t xml:space="preserve">  4 — Managed       Comprehensive, well-integrated with measurable outcomes</t>
        </is>
      </c>
    </row>
    <row r="23">
      <c r="B23" s="4" t="inlineStr">
        <is>
          <t xml:space="preserve">  5 — Optimized     Fully automated, continuously improving</t>
        </is>
      </c>
    </row>
    <row r="25" ht="28" customHeight="1">
      <c r="B25" s="3" t="inlineStr">
        <is>
          <t>DEBMM Tiers</t>
        </is>
      </c>
    </row>
    <row r="26">
      <c r="B26" s="4" t="inlineStr">
        <is>
          <t>Tier 0 — Foundation        Rule development, maintenance, roadmaps, threat modeling</t>
        </is>
      </c>
    </row>
    <row r="27">
      <c r="B27" s="4" t="inlineStr">
        <is>
          <t>Tier 1 — Basic                 Baseline rules, version control, telemetry, testing</t>
        </is>
      </c>
    </row>
    <row r="28">
      <c r="B28" s="4" t="inlineStr">
        <is>
          <t>Tier 2 — Intermediate     FP reduction, gap analysis, internal validation</t>
        </is>
      </c>
    </row>
    <row r="29">
      <c r="B29" s="4" t="inlineStr">
        <is>
          <t>Tier 3 — Advanced           FN triage, external validation, advanced TTP coverage</t>
        </is>
      </c>
    </row>
    <row r="30">
      <c r="B30" s="4" t="inlineStr">
        <is>
          <t>Tier 4 — Expert               Threat hunting, automation, AI/LLM integration</t>
        </is>
      </c>
    </row>
    <row r="31">
      <c r="B31" s="4" t="inlineStr"/>
    </row>
    <row r="32">
      <c r="B32" s="4" t="inlineStr">
        <is>
          <t>Enrichment — People &amp; Org       Team structure, training, leadership</t>
        </is>
      </c>
    </row>
    <row r="33">
      <c r="B33" s="4" t="inlineStr">
        <is>
          <t>Enrichment — Process &amp; Gov     Lifecycle, metrics, collaboration</t>
        </is>
      </c>
    </row>
    <row r="35" ht="28" customHeight="1">
      <c r="B35" s="3" t="inlineStr">
        <is>
          <t>Tier Determination</t>
        </is>
      </c>
    </row>
    <row r="36">
      <c r="B36" s="4" t="inlineStr">
        <is>
          <t>Your achieved tier is the highest tier where ALL criteria in that tier (and all lower tiers) score ≥ 3.0 (Defined level). This enforces the progressive nature of the model — you need solid foundations before claiming advanced maturity.</t>
        </is>
      </c>
    </row>
    <row r="38" ht="28" customHeight="1">
      <c r="B38" s="3" t="inlineStr">
        <is>
          <t>Scoring Paths</t>
        </is>
      </c>
    </row>
    <row r="39">
      <c r="B39" s="4" t="inlineStr">
        <is>
          <t>1.  This Spreadsheet — Fill it out and scores calculate automatically in the Dashboard</t>
        </is>
      </c>
    </row>
    <row r="40">
      <c r="B40" s="4" t="inlineStr">
        <is>
          <t>2.  Python CLI — Export answers to YAML and run scorer/score.py for a detailed report</t>
        </is>
      </c>
    </row>
    <row r="41">
      <c r="B41" s="4" t="inlineStr">
        <is>
          <t>3.  LLM-Assisted — Run scorer/llm_scorer.py for AI-generated improvement recommendations</t>
        </is>
      </c>
    </row>
    <row r="43" ht="28" customHeight="1">
      <c r="B43" s="3" t="inlineStr">
        <is>
          <t>References</t>
        </is>
      </c>
    </row>
    <row r="44">
      <c r="B44" s="4" t="inlineStr">
        <is>
          <t>Elastic DEBMM: https://www.elastic.co/security-labs/elastic-releases-debmm</t>
        </is>
      </c>
    </row>
    <row r="45">
      <c r="B45" s="4" t="inlineStr">
        <is>
          <t>Detection Engineering Maturity Matrix: https://detectionengineering.io/</t>
        </is>
      </c>
    </row>
    <row r="46">
      <c r="B46" s="4" t="inlineStr">
        <is>
          <t>MITRE ATT&amp;CK: https://attack.mitre.org/</t>
        </is>
      </c>
    </row>
  </sheetData>
  <mergeCells count="1">
    <mergeCell ref="A1:C1"/>
  </mergeCells>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F57"/>
  <sheetViews>
    <sheetView workbookViewId="0">
      <pane ySplit="9" topLeftCell="A10" activePane="bottomLeft" state="frozen"/>
      <selection pane="bottomLeft" activeCell="A1" sqref="A1"/>
    </sheetView>
  </sheetViews>
  <sheetFormatPr baseColWidth="8" defaultRowHeight="15"/>
  <cols>
    <col width="8" customWidth="1" min="1" max="1"/>
    <col width="28" customWidth="1" min="2" max="2"/>
    <col width="80" customWidth="1" min="3" max="3"/>
    <col width="14" customWidth="1" min="4" max="4"/>
    <col width="10" customWidth="1" min="5" max="5"/>
    <col width="45" customWidth="1" min="6" max="6"/>
  </cols>
  <sheetData>
    <row r="1" ht="44" customHeight="1">
      <c r="A1" s="1" t="inlineStr">
        <is>
          <t xml:space="preserve">  DEBMM Assessment</t>
        </is>
      </c>
      <c r="B1" s="2" t="n"/>
      <c r="C1" s="2" t="n"/>
      <c r="D1" s="2" t="n"/>
      <c r="E1" s="2" t="n"/>
      <c r="F1" s="2" t="n"/>
    </row>
    <row r="3">
      <c r="A3" s="5" t="inlineStr">
        <is>
          <t>Organization:</t>
        </is>
      </c>
      <c r="B3" s="6" t="n"/>
    </row>
    <row r="4">
      <c r="A4" s="5" t="inlineStr">
        <is>
          <t>Assessor Name:</t>
        </is>
      </c>
      <c r="B4" s="6" t="n"/>
    </row>
    <row r="5">
      <c r="A5" s="5" t="inlineStr">
        <is>
          <t>Assessor Role:</t>
        </is>
      </c>
      <c r="B5" s="6" t="n"/>
    </row>
    <row r="6">
      <c r="A6" s="5" t="inlineStr">
        <is>
          <t>Date:</t>
        </is>
      </c>
      <c r="B6" s="6" t="n"/>
    </row>
    <row r="7">
      <c r="A7" s="5" t="inlineStr">
        <is>
          <t>Assessment Type:</t>
        </is>
      </c>
      <c r="B7" s="6" t="inlineStr">
        <is>
          <t>Audit</t>
        </is>
      </c>
    </row>
    <row r="9" ht="28" customHeight="1">
      <c r="A9" s="7" t="inlineStr">
        <is>
          <t>ID</t>
        </is>
      </c>
      <c r="B9" s="7" t="inlineStr">
        <is>
          <t>Criterion</t>
        </is>
      </c>
      <c r="C9" s="7" t="inlineStr">
        <is>
          <t>Question</t>
        </is>
      </c>
      <c r="D9" s="7" t="inlineStr">
        <is>
          <t>Answer</t>
        </is>
      </c>
      <c r="E9" s="7" t="inlineStr">
        <is>
          <t>Score</t>
        </is>
      </c>
      <c r="F9" s="7" t="inlineStr">
        <is>
          <t>Evidence / Notes</t>
        </is>
      </c>
    </row>
    <row r="10" ht="36" customHeight="1">
      <c r="A10" s="8" t="inlineStr">
        <is>
          <t xml:space="preserve">  TIER 0: FOUNDATION</t>
        </is>
      </c>
      <c r="B10" s="2" t="n"/>
      <c r="C10" s="2" t="n"/>
      <c r="D10" s="2" t="n"/>
      <c r="E10" s="2" t="n"/>
      <c r="F10" s="2" t="n"/>
    </row>
    <row r="11" ht="115" customHeight="1">
      <c r="A11" s="9" t="inlineStr">
        <is>
          <t>T0-Q1</t>
        </is>
      </c>
      <c r="B11" s="10" t="inlineStr">
        <is>
          <t>Structured Rule Development Approach</t>
        </is>
      </c>
      <c r="C11" s="11" t="inlineStr">
        <is>
          <t>Rate the maturity of the assessed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D11" s="12" t="n"/>
      <c r="E11" s="13">
        <f>IF(D11="","",D11)</f>
        <v/>
      </c>
      <c r="F11" s="14" t="n"/>
    </row>
    <row r="12" ht="35" customHeight="1">
      <c r="A12" s="9" t="inlineStr">
        <is>
          <t>T0-Q2</t>
        </is>
      </c>
      <c r="B12" s="10" t="inlineStr">
        <is>
          <t>Structured Rule Development Approach</t>
        </is>
      </c>
      <c r="C12" s="11" t="inlineStr">
        <is>
          <t>Do all new detection rules go through peer review before production deployment?</t>
        </is>
      </c>
      <c r="D12" s="12" t="n"/>
      <c r="E12" s="13">
        <f>IF(D12="Yes",4,IF(D12="No",1,""))</f>
        <v/>
      </c>
      <c r="F12" s="14" t="n"/>
    </row>
    <row r="13" ht="115" customHeight="1">
      <c r="A13" s="9" t="inlineStr">
        <is>
          <t>T0-Q3</t>
        </is>
      </c>
      <c r="B13" s="10" t="inlineStr">
        <is>
          <t>Rule Creation and Maintenance</t>
        </is>
      </c>
      <c r="C13" s="11" t="inlineStr">
        <is>
          <t>What percentage of the assessed team's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D13" s="12" t="n"/>
      <c r="E13" s="13">
        <f>IF(D13="","",D13)</f>
        <v/>
      </c>
      <c r="F13" s="14" t="n"/>
    </row>
    <row r="14" ht="115" customHeight="1">
      <c r="A14" s="9" t="inlineStr">
        <is>
          <t>T0-Q4</t>
        </is>
      </c>
      <c r="B14" s="10" t="inlineStr">
        <is>
          <t>Roadmap Documentation</t>
        </is>
      </c>
      <c r="C14" s="11" t="inlineStr">
        <is>
          <t>Rate the maturity of the assessed team's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D14" s="12" t="n"/>
      <c r="E14" s="13">
        <f>IF(D14="","",D14)</f>
        <v/>
      </c>
      <c r="F14" s="14" t="n"/>
    </row>
    <row r="15" ht="115" customHeight="1">
      <c r="A15" s="9" t="inlineStr">
        <is>
          <t>T0-Q5</t>
        </is>
      </c>
      <c r="B15" s="10" t="inlineStr">
        <is>
          <t>Threat Modeling</t>
        </is>
      </c>
      <c r="C15" s="11" t="inlineStr">
        <is>
          <t>How frequently does the assessed team perform threat modeling?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D15" s="12" t="n"/>
      <c r="E15" s="13">
        <f>IF(D15="","",D15)</f>
        <v/>
      </c>
      <c r="F15" s="14" t="n"/>
    </row>
    <row r="16" ht="35" customHeight="1">
      <c r="A16" s="9" t="inlineStr">
        <is>
          <t>T0-Q6</t>
        </is>
      </c>
      <c r="B16" s="10" t="inlineStr">
        <is>
          <t>Threat Modeling</t>
        </is>
      </c>
      <c r="C16" s="11" t="inlineStr">
        <is>
          <t>Does the assessed team's threat modeling use a recognized framework?</t>
        </is>
      </c>
      <c r="D16" s="12" t="n"/>
      <c r="E16" s="13">
        <f>IF(D16="Yes",3,IF(D16="No",1,""))</f>
        <v/>
      </c>
      <c r="F16" s="14" t="n"/>
    </row>
    <row r="17" ht="35" customHeight="1">
      <c r="A17" s="9" t="inlineStr">
        <is>
          <t>T0-Q7</t>
        </is>
      </c>
      <c r="B17" s="10" t="inlineStr">
        <is>
          <t>Threat Modeling</t>
        </is>
      </c>
      <c r="C17" s="11" t="inlineStr">
        <is>
          <t>Do threat modeling outputs directly generate items on the assessed team's backlog?</t>
        </is>
      </c>
      <c r="D17" s="12" t="n"/>
      <c r="E17" s="13">
        <f>IF(D17="Yes",4,IF(D17="No",1,""))</f>
        <v/>
      </c>
      <c r="F17" s="14" t="n"/>
    </row>
    <row r="18" ht="36" customHeight="1">
      <c r="A18" s="8" t="inlineStr">
        <is>
          <t xml:space="preserve">  TIER 1: BASIC</t>
        </is>
      </c>
      <c r="B18" s="2" t="n"/>
      <c r="C18" s="2" t="n"/>
      <c r="D18" s="2" t="n"/>
      <c r="E18" s="2" t="n"/>
      <c r="F18" s="2" t="n"/>
    </row>
    <row r="19" ht="115" customHeight="1">
      <c r="A19" s="9" t="inlineStr">
        <is>
          <t>T1-Q1</t>
        </is>
      </c>
      <c r="B19" s="10" t="inlineStr">
        <is>
          <t>Baseline Rule Creation</t>
        </is>
      </c>
      <c r="C19" s="11" t="inlineStr">
        <is>
          <t>How many custom detection rules does the assessed team maintain?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D19" s="12" t="n"/>
      <c r="E19" s="13">
        <f>IF(D19="","",D19)</f>
        <v/>
      </c>
      <c r="F19" s="14" t="n"/>
    </row>
    <row r="20" ht="115" customHeight="1">
      <c r="A20" s="9" t="inlineStr">
        <is>
          <t>T1-Q2</t>
        </is>
      </c>
      <c r="B20" s="10" t="inlineStr">
        <is>
          <t>Baseline Rule Creation</t>
        </is>
      </c>
      <c r="C20" s="11" t="inlineStr">
        <is>
          <t>Estimate the assessed team's MITRE ATT&amp;CK technique coverage for priority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D20" s="12" t="n"/>
      <c r="E20" s="13">
        <f>IF(D20="","",D20)</f>
        <v/>
      </c>
      <c r="F20" s="14" t="n"/>
    </row>
    <row r="21" ht="115" customHeight="1">
      <c r="A21" s="9" t="inlineStr">
        <is>
          <t>T1-Q3</t>
        </is>
      </c>
      <c r="B21" s="10" t="inlineStr">
        <is>
          <t>Ruleset Management and Maintenance</t>
        </is>
      </c>
      <c r="C21" s="11" t="inlineStr">
        <is>
          <t>Rate the maturity of the assessed team's ruleset management.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D21" s="12" t="n"/>
      <c r="E21" s="13">
        <f>IF(D21="","",D21)</f>
        <v/>
      </c>
      <c r="F21" s="14" t="n"/>
    </row>
    <row r="22" ht="115" customHeight="1">
      <c r="A22" s="9" t="inlineStr">
        <is>
          <t>T1-Q4</t>
        </is>
      </c>
      <c r="B22" s="10" t="inlineStr">
        <is>
          <t>Telemetry Quality</t>
        </is>
      </c>
      <c r="C22" s="11" t="inlineStr">
        <is>
          <t>Rate the quality and coverage of the assessed team's telemetry.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D22" s="12" t="n"/>
      <c r="E22" s="13">
        <f>IF(D22="","",D22)</f>
        <v/>
      </c>
      <c r="F22" s="14" t="n"/>
    </row>
    <row r="23" ht="35" customHeight="1">
      <c r="A23" s="9" t="inlineStr">
        <is>
          <t>T1-Q5</t>
        </is>
      </c>
      <c r="B23" s="10" t="inlineStr">
        <is>
          <t>Telemetry Quality</t>
        </is>
      </c>
      <c r="C23" s="11" t="inlineStr">
        <is>
          <t>Does the assessed team maintain a documented data source inventory mapped to use cases?</t>
        </is>
      </c>
      <c r="D23" s="12" t="n"/>
      <c r="E23" s="13">
        <f>IF(D23="Yes",3,IF(D23="No",1,""))</f>
        <v/>
      </c>
      <c r="F23" s="14" t="n"/>
    </row>
    <row r="24" ht="35" customHeight="1">
      <c r="A24" s="9" t="inlineStr">
        <is>
          <t>T1-Q6</t>
        </is>
      </c>
      <c r="B24" s="10" t="inlineStr">
        <is>
          <t>Telemetry Quality</t>
        </is>
      </c>
      <c r="C24" s="11" t="inlineStr">
        <is>
          <t>Does the assessed team have automated alerting for data source degradation?</t>
        </is>
      </c>
      <c r="D24" s="12" t="n"/>
      <c r="E24" s="13">
        <f>IF(D24="Yes",4,IF(D24="No",1,""))</f>
        <v/>
      </c>
      <c r="F24" s="14" t="n"/>
    </row>
    <row r="25" ht="115" customHeight="1">
      <c r="A25" s="9" t="inlineStr">
        <is>
          <t>T1-Q7</t>
        </is>
      </c>
      <c r="B25" s="10" t="inlineStr">
        <is>
          <t>Threat Landscape Review</t>
        </is>
      </c>
      <c r="C25" s="11" t="inlineStr">
        <is>
          <t>How frequently does the assessed team review the threat landscape?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D25" s="12" t="n"/>
      <c r="E25" s="13">
        <f>IF(D25="","",D25)</f>
        <v/>
      </c>
      <c r="F25" s="14" t="n"/>
    </row>
    <row r="26" ht="115" customHeight="1">
      <c r="A26" s="9" t="inlineStr">
        <is>
          <t>T1-Q8</t>
        </is>
      </c>
      <c r="B26" s="10" t="inlineStr">
        <is>
          <t>Product Owner Engagement</t>
        </is>
      </c>
      <c r="C26" s="11" t="inlineStr">
        <is>
          <t>Rate the engagement between the assessed team and product/platform owners.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D26" s="12" t="n"/>
      <c r="E26" s="13">
        <f>IF(D26="","",D26)</f>
        <v/>
      </c>
      <c r="F26" s="14" t="n"/>
    </row>
    <row r="27" ht="115" customHeight="1">
      <c r="A27" s="9" t="inlineStr">
        <is>
          <t>T1-Q9</t>
        </is>
      </c>
      <c r="B27" s="10" t="inlineStr">
        <is>
          <t>Release Testing and Validation</t>
        </is>
      </c>
      <c r="C27" s="11" t="inlineStr">
        <is>
          <t>Rate the maturity of the assessed team's release testing.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D27" s="12" t="n"/>
      <c r="E27" s="13">
        <f>IF(D27="","",D27)</f>
        <v/>
      </c>
      <c r="F27" s="14" t="n"/>
    </row>
    <row r="28" ht="36" customHeight="1">
      <c r="A28" s="8" t="inlineStr">
        <is>
          <t xml:space="preserve">  TIER 2: INTERMEDIATE</t>
        </is>
      </c>
      <c r="B28" s="2" t="n"/>
      <c r="C28" s="2" t="n"/>
      <c r="D28" s="2" t="n"/>
      <c r="E28" s="2" t="n"/>
      <c r="F28" s="2" t="n"/>
    </row>
    <row r="29" ht="115" customHeight="1">
      <c r="A29" s="9" t="inlineStr">
        <is>
          <t>T2-Q1</t>
        </is>
      </c>
      <c r="B29" s="10" t="inlineStr">
        <is>
          <t>False Positive Tuning and Reduction</t>
        </is>
      </c>
      <c r="C29" s="11" t="inlineStr">
        <is>
          <t>Rate the maturity of the assessed team's FP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D29" s="12" t="n"/>
      <c r="E29" s="13">
        <f>IF(D29="","",D29)</f>
        <v/>
      </c>
      <c r="F29" s="14" t="n"/>
    </row>
    <row r="30" ht="115" customHeight="1">
      <c r="A30" s="9" t="inlineStr">
        <is>
          <t>T2-Q2</t>
        </is>
      </c>
      <c r="B30" s="10" t="inlineStr">
        <is>
          <t>False Positive Tuning and Reduction</t>
        </is>
      </c>
      <c r="C30" s="11" t="inlineStr">
        <is>
          <t>What is the assessed team's estimated FP reduction from baseline?
1 — Unknown or not measured
2 — Less than 25% reduction
3 — 25-50% reduction with per-rule FP rate tracking
4 — 50-75% reduction with automated tuning recommendations
5 — Over 75% reduction with ML-assisted continuous tuning</t>
        </is>
      </c>
      <c r="D30" s="12" t="n"/>
      <c r="E30" s="13">
        <f>IF(D30="","",D30)</f>
        <v/>
      </c>
      <c r="F30" s="14" t="n"/>
    </row>
    <row r="31" ht="115" customHeight="1">
      <c r="A31" s="9" t="inlineStr">
        <is>
          <t>T2-Q3</t>
        </is>
      </c>
      <c r="B31" s="10" t="inlineStr">
        <is>
          <t>Gap Analysis and Documentation</t>
        </is>
      </c>
      <c r="C31" s="11" t="inlineStr">
        <is>
          <t>Rate the maturity of the assessed team's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D31" s="12" t="n"/>
      <c r="E31" s="13">
        <f>IF(D31="","",D31)</f>
        <v/>
      </c>
      <c r="F31" s="14" t="n"/>
    </row>
    <row r="32" ht="35" customHeight="1">
      <c r="A32" s="9" t="inlineStr">
        <is>
          <t>T2-Q4</t>
        </is>
      </c>
      <c r="B32" s="10" t="inlineStr">
        <is>
          <t>Gap Analysis and Documentation</t>
        </is>
      </c>
      <c r="C32" s="11" t="inlineStr">
        <is>
          <t>Does the assessed team maintain a documented, prioritized gap list updated quarterly?</t>
        </is>
      </c>
      <c r="D32" s="12" t="n"/>
      <c r="E32" s="13">
        <f>IF(D32="Yes",3,IF(D32="No",1,""))</f>
        <v/>
      </c>
      <c r="F32" s="14" t="n"/>
    </row>
    <row r="33" ht="35" customHeight="1">
      <c r="A33" s="9" t="inlineStr">
        <is>
          <t>T2-Q5</t>
        </is>
      </c>
      <c r="B33" s="10" t="inlineStr">
        <is>
          <t>Gap Analysis and Documentation</t>
        </is>
      </c>
      <c r="C33" s="11" t="inlineStr">
        <is>
          <t>Are the assessed team's gaps communicated to stakeholders at least quarterly?</t>
        </is>
      </c>
      <c r="D33" s="12" t="n"/>
      <c r="E33" s="13">
        <f>IF(D33="Yes",4,IF(D33="No",1,""))</f>
        <v/>
      </c>
      <c r="F33" s="14" t="n"/>
    </row>
    <row r="34" ht="115" customHeight="1">
      <c r="A34" s="9" t="inlineStr">
        <is>
          <t>T2-Q6</t>
        </is>
      </c>
      <c r="B34" s="10" t="inlineStr">
        <is>
          <t>Internal Testing and Validation</t>
        </is>
      </c>
      <c r="C34" s="11" t="inlineStr">
        <is>
          <t>Rate the maturity of the assessed team's internal testing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D34" s="12" t="n"/>
      <c r="E34" s="13">
        <f>IF(D34="","",D34)</f>
        <v/>
      </c>
      <c r="F34" s="14" t="n"/>
    </row>
    <row r="35" ht="36" customHeight="1">
      <c r="A35" s="8" t="inlineStr">
        <is>
          <t xml:space="preserve">  TIER 3: ADVANCED</t>
        </is>
      </c>
      <c r="B35" s="2" t="n"/>
      <c r="C35" s="2" t="n"/>
      <c r="D35" s="2" t="n"/>
      <c r="E35" s="2" t="n"/>
      <c r="F35" s="2" t="n"/>
    </row>
    <row r="36" ht="115" customHeight="1">
      <c r="A36" s="9" t="inlineStr">
        <is>
          <t>T3-Q1</t>
        </is>
      </c>
      <c r="B36" s="10" t="inlineStr">
        <is>
          <t>False Negative Triage</t>
        </is>
      </c>
      <c r="C36" s="11" t="inlineStr">
        <is>
          <t>Rate the assessed team's ability to detect and remediate false negatives.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D36" s="12" t="n"/>
      <c r="E36" s="13">
        <f>IF(D36="","",D36)</f>
        <v/>
      </c>
      <c r="F36" s="14" t="n"/>
    </row>
    <row r="37" ht="115" customHeight="1">
      <c r="A37" s="9" t="inlineStr">
        <is>
          <t>T3-Q2</t>
        </is>
      </c>
      <c r="B37" s="10" t="inlineStr">
        <is>
          <t>False Negative Triage</t>
        </is>
      </c>
      <c r="C37" s="11" t="inlineStr">
        <is>
          <t>What is the assessed team's detection trigger rate on tested samples?
1 — Unknown or not tested
2 — Less than 50% of test samples trigger expected detections
3 — 50-70% trigger rate with root cause analysis on misses
4 — 70-90% trigger rate with automated validation and remediation
5 — Over 90% trigger rate with continuous regression testing</t>
        </is>
      </c>
      <c r="D37" s="12" t="n"/>
      <c r="E37" s="13">
        <f>IF(D37="","",D37)</f>
        <v/>
      </c>
      <c r="F37" s="14" t="n"/>
    </row>
    <row r="38" ht="115" customHeight="1">
      <c r="A38" s="9" t="inlineStr">
        <is>
          <t>T3-Q3</t>
        </is>
      </c>
      <c r="B38" s="10" t="inlineStr">
        <is>
          <t>External Validation</t>
        </is>
      </c>
      <c r="C38" s="11" t="inlineStr">
        <is>
          <t>Rate the maturity of the assessed team's external validation.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D38" s="12" t="n"/>
      <c r="E38" s="13">
        <f>IF(D38="","",D38)</f>
        <v/>
      </c>
      <c r="F38" s="14" t="n"/>
    </row>
    <row r="39" ht="115" customHeight="1">
      <c r="A39" s="9" t="inlineStr">
        <is>
          <t>T3-Q4</t>
        </is>
      </c>
      <c r="B39" s="10" t="inlineStr">
        <is>
          <t>Advanced TTP Coverage</t>
        </is>
      </c>
      <c r="C39" s="11" t="inlineStr">
        <is>
          <t>Rate the assessed team's coverage of advanced TTPs.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D39" s="12" t="n"/>
      <c r="E39" s="13">
        <f>IF(D39="","",D39)</f>
        <v/>
      </c>
      <c r="F39" s="14" t="n"/>
    </row>
    <row r="40" ht="115" customHeight="1">
      <c r="A40" s="9" t="inlineStr">
        <is>
          <t>T3-Q5</t>
        </is>
      </c>
      <c r="B40" s="10" t="inlineStr">
        <is>
          <t>Advanced TTP Coverage</t>
        </is>
      </c>
      <c r="C40" s="11" t="inlineStr">
        <is>
          <t>How many of these categories does the assessed team have behavioral detections for: LOLBins, fileless malware, credential evasion, defense evasion, lateral movement?
1 — None of these
2 — 1 of these categories
3 — 2-3 of these categories
4 — 4-5 of these categories
5 — All 5 plus additional categories (e.g., supply chain attacks, AI-assisted threats)</t>
        </is>
      </c>
      <c r="D40" s="12" t="n"/>
      <c r="E40" s="13">
        <f>IF(D40="","",D40)</f>
        <v/>
      </c>
      <c r="F40" s="14" t="n"/>
    </row>
    <row r="41" ht="36" customHeight="1">
      <c r="A41" s="8" t="inlineStr">
        <is>
          <t xml:space="preserve">  TIER 4: EXPERT</t>
        </is>
      </c>
      <c r="B41" s="2" t="n"/>
      <c r="C41" s="2" t="n"/>
      <c r="D41" s="2" t="n"/>
      <c r="E41" s="2" t="n"/>
      <c r="F41" s="2" t="n"/>
    </row>
    <row r="42" ht="115" customHeight="1">
      <c r="A42" s="9" t="inlineStr">
        <is>
          <t>T4-Q1</t>
        </is>
      </c>
      <c r="B42" s="10" t="inlineStr">
        <is>
          <t>Threat Hunting in Telemetry</t>
        </is>
      </c>
      <c r="C42" s="11" t="inlineStr">
        <is>
          <t>Rate the maturity of the assessed team's threat hunting.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D42" s="12" t="n"/>
      <c r="E42" s="13">
        <f>IF(D42="","",D42)</f>
        <v/>
      </c>
      <c r="F42" s="14" t="n"/>
    </row>
    <row r="43" ht="35" customHeight="1">
      <c r="A43" s="9" t="inlineStr">
        <is>
          <t>T4-Q2</t>
        </is>
      </c>
      <c r="B43" s="10" t="inlineStr">
        <is>
          <t>Threat Hunting in Telemetry</t>
        </is>
      </c>
      <c r="C43" s="11" t="inlineStr">
        <is>
          <t>Are the assessed team's hunts driven by documented hypotheses?</t>
        </is>
      </c>
      <c r="D43" s="12" t="n"/>
      <c r="E43" s="13">
        <f>IF(D43="Yes",4,IF(D43="No",1,""))</f>
        <v/>
      </c>
      <c r="F43" s="14" t="n"/>
    </row>
    <row r="44" ht="35" customHeight="1">
      <c r="A44" s="9" t="inlineStr">
        <is>
          <t>T4-Q3</t>
        </is>
      </c>
      <c r="B44" s="10" t="inlineStr">
        <is>
          <t>Threat Hunting in Telemetry</t>
        </is>
      </c>
      <c r="C44" s="11" t="inlineStr">
        <is>
          <t>Is there a defined process to convert hunting findings into production rules?</t>
        </is>
      </c>
      <c r="D44" s="12" t="n"/>
      <c r="E44" s="13">
        <f>IF(D44="Yes",4,IF(D44="No",1,""))</f>
        <v/>
      </c>
      <c r="F44" s="14" t="n"/>
    </row>
    <row r="45" ht="115" customHeight="1">
      <c r="A45" s="9" t="inlineStr">
        <is>
          <t>T4-Q4</t>
        </is>
      </c>
      <c r="B45" s="10" t="inlineStr">
        <is>
          <t>Automation and Continuous Improvement</t>
        </is>
      </c>
      <c r="C45" s="11" t="inlineStr">
        <is>
          <t>What percentage of the assessed team's DE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D45" s="12" t="n"/>
      <c r="E45" s="13">
        <f>IF(D45="","",D45)</f>
        <v/>
      </c>
      <c r="F45" s="14" t="n"/>
    </row>
    <row r="46" ht="115" customHeight="1">
      <c r="A46" s="9" t="inlineStr">
        <is>
          <t>T4-Q5</t>
        </is>
      </c>
      <c r="B46" s="10" t="inlineStr">
        <is>
          <t>Automation and Continuous Improvement</t>
        </is>
      </c>
      <c r="C46" s="11" t="inlineStr">
        <is>
          <t>How many detection lifecycle stages have automation or AI integration?
1 — None; all stages are manual
2 — 1 stage (e.g., deployment scripts only)
3 — 2-3 stages automated or AI-assisted
4 — 4-5 stages automated or AI-assisted
5 — All 6 stages with AI/LLM integration throughout</t>
        </is>
      </c>
      <c r="D46" s="12" t="n"/>
      <c r="E46" s="13">
        <f>IF(D46="","",D46)</f>
        <v/>
      </c>
      <c r="F46" s="14" t="n"/>
    </row>
    <row r="47" ht="36" customHeight="1">
      <c r="A47" s="8" t="inlineStr">
        <is>
          <t xml:space="preserve">  ENRICHMENT: PEOPLE &amp; ORGANIZATION</t>
        </is>
      </c>
      <c r="B47" s="2" t="n"/>
      <c r="C47" s="2" t="n"/>
      <c r="D47" s="2" t="n"/>
      <c r="E47" s="2" t="n"/>
      <c r="F47" s="2" t="n"/>
    </row>
    <row r="48" ht="115" customHeight="1">
      <c r="A48" s="9" t="inlineStr">
        <is>
          <t>EP-Q1</t>
        </is>
      </c>
      <c r="B48" s="10" t="inlineStr">
        <is>
          <t>Team Structure and Dedicated Roles</t>
        </is>
      </c>
      <c r="C48" s="11" t="inlineStr">
        <is>
          <t>Rate the maturity of the assessed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D48" s="12" t="n"/>
      <c r="E48" s="13">
        <f>IF(D48="","",D48)</f>
        <v/>
      </c>
      <c r="F48" s="14" t="n"/>
    </row>
    <row r="49" ht="115" customHeight="1">
      <c r="A49" s="9" t="inlineStr">
        <is>
          <t>EP-Q2</t>
        </is>
      </c>
      <c r="B49" s="10" t="inlineStr">
        <is>
          <t>Skills Development and Training</t>
        </is>
      </c>
      <c r="C49" s="11" t="inlineStr">
        <is>
          <t>Rate the maturity of the assessed team's skills development.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D49" s="12" t="n"/>
      <c r="E49" s="13">
        <f>IF(D49="","",D49)</f>
        <v/>
      </c>
      <c r="F49" s="14" t="n"/>
    </row>
    <row r="50" ht="115" customHeight="1">
      <c r="A50" s="9" t="inlineStr">
        <is>
          <t>EP-Q3</t>
        </is>
      </c>
      <c r="B50" s="10" t="inlineStr">
        <is>
          <t>Leadership Commitment and Executive Sponsorship</t>
        </is>
      </c>
      <c r="C50" s="11" t="inlineStr">
        <is>
          <t>Rate the executive sponsorship of the assessed detection engineering function.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D50" s="12" t="n"/>
      <c r="E50" s="13">
        <f>IF(D50="","",D50)</f>
        <v/>
      </c>
      <c r="F50" s="14" t="n"/>
    </row>
    <row r="51" ht="35" customHeight="1">
      <c r="A51" s="9" t="inlineStr">
        <is>
          <t>EP-Q4</t>
        </is>
      </c>
      <c r="B51" s="10" t="inlineStr">
        <is>
          <t>Leadership Commitment and Executive Sponsorship</t>
        </is>
      </c>
      <c r="C51" s="11" t="inlineStr">
        <is>
          <t>Does the assessed team present metrics to executive leadership at least quarterly?</t>
        </is>
      </c>
      <c r="D51" s="12" t="n"/>
      <c r="E51" s="13">
        <f>IF(D51="Yes",3,IF(D51="No",1,""))</f>
        <v/>
      </c>
      <c r="F51" s="14" t="n"/>
    </row>
    <row r="52" ht="35" customHeight="1">
      <c r="A52" s="9" t="inlineStr">
        <is>
          <t>EP-Q5</t>
        </is>
      </c>
      <c r="B52" s="10" t="inlineStr">
        <is>
          <t>Leadership Commitment and Executive Sponsorship</t>
        </is>
      </c>
      <c r="C52" s="11" t="inlineStr">
        <is>
          <t>Has leadership made investment/staffing decisions based on the assessed team's metrics in the past year?</t>
        </is>
      </c>
      <c r="D52" s="12" t="n"/>
      <c r="E52" s="13">
        <f>IF(D52="Yes",4,IF(D52="No",1,""))</f>
        <v/>
      </c>
      <c r="F52" s="14" t="n"/>
    </row>
    <row r="53" ht="36" customHeight="1">
      <c r="A53" s="8" t="inlineStr">
        <is>
          <t xml:space="preserve">  ENRICHMENT: PROCESS &amp; GOVERNANCE</t>
        </is>
      </c>
      <c r="B53" s="2" t="n"/>
      <c r="C53" s="2" t="n"/>
      <c r="D53" s="2" t="n"/>
      <c r="E53" s="2" t="n"/>
      <c r="F53" s="2" t="n"/>
    </row>
    <row r="54" ht="115" customHeight="1">
      <c r="A54" s="9" t="inlineStr">
        <is>
          <t>EG-Q1</t>
        </is>
      </c>
      <c r="B54" s="10" t="inlineStr">
        <is>
          <t>Detection Lifecycle Workflow</t>
        </is>
      </c>
      <c r="C54" s="11" t="inlineStr">
        <is>
          <t>Rate the maturity of the assessed team's detection lifecycle workflow.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D54" s="12" t="n"/>
      <c r="E54" s="13">
        <f>IF(D54="","",D54)</f>
        <v/>
      </c>
      <c r="F54" s="14" t="n"/>
    </row>
    <row r="55" ht="115" customHeight="1">
      <c r="A55" s="9" t="inlineStr">
        <is>
          <t>EG-Q2</t>
        </is>
      </c>
      <c r="B55" s="10" t="inlineStr">
        <is>
          <t>Metrics and KPI Tracking</t>
        </is>
      </c>
      <c r="C55" s="11" t="inlineStr">
        <is>
          <t>Rate the maturity of the assessed team's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D55" s="12" t="n"/>
      <c r="E55" s="13">
        <f>IF(D55="","",D55)</f>
        <v/>
      </c>
      <c r="F55" s="14" t="n"/>
    </row>
    <row r="56" ht="115" customHeight="1">
      <c r="A56" s="9" t="inlineStr">
        <is>
          <t>EG-Q3</t>
        </is>
      </c>
      <c r="B56" s="10" t="inlineStr">
        <is>
          <t>Metrics and KPI Tracking</t>
        </is>
      </c>
      <c r="C56" s="11" t="inlineStr">
        <is>
          <t>How many of these KPI categories does the assessed team track: coverage, quality, velocity, rule health, analyst impact?
1 — None of these are tracked
2 — 1 category tracked
3 — 2-3 categories tracked with regular reporting
4 — 4-5 categories tracked with automated collection and dashboards
5 — All 5 categories plus additional metrics with trend analysis and benchmarking</t>
        </is>
      </c>
      <c r="D56" s="12" t="n"/>
      <c r="E56" s="13">
        <f>IF(D56="","",D56)</f>
        <v/>
      </c>
      <c r="F56" s="14" t="n"/>
    </row>
    <row r="57" ht="115" customHeight="1">
      <c r="A57" s="9" t="inlineStr">
        <is>
          <t>EG-Q4</t>
        </is>
      </c>
      <c r="B57" s="10" t="inlineStr">
        <is>
          <t>Cross-Team Collaboration</t>
        </is>
      </c>
      <c r="C57" s="11" t="inlineStr">
        <is>
          <t>Rate cross-team collaboration involving the assessed detection engineering function.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D57" s="12" t="n"/>
      <c r="E57" s="13">
        <f>IF(D57="","",D57)</f>
        <v/>
      </c>
      <c r="F57" s="14" t="n"/>
    </row>
  </sheetData>
  <mergeCells count="13">
    <mergeCell ref="A41:F41"/>
    <mergeCell ref="B6:C6"/>
    <mergeCell ref="A10:F10"/>
    <mergeCell ref="A28:F28"/>
    <mergeCell ref="A47:F47"/>
    <mergeCell ref="B7:C7"/>
    <mergeCell ref="B3:C3"/>
    <mergeCell ref="B5:C5"/>
    <mergeCell ref="A1:F1"/>
    <mergeCell ref="A18:F18"/>
    <mergeCell ref="A35:F35"/>
    <mergeCell ref="A53:F53"/>
    <mergeCell ref="B4:C4"/>
  </mergeCells>
  <conditionalFormatting sqref="E10:E57">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3">
    <dataValidation sqref="B7" showDropDown="0" showInputMessage="0" showErrorMessage="0" allowBlank="0" errorTitle="Invalid Entry" error="Please select Self-Assessment or Audit" type="list">
      <formula1>"Self-Assessment,Audit"</formula1>
    </dataValidation>
    <dataValidation sqref="D12 D16 D17 D23 D24 D32 D33 D43 D44 D51 D52" showDropDown="0" showInputMessage="0" showErrorMessage="0" allowBlank="1" errorTitle="Invalid Entry" error="Please select Yes or No" promptTitle="Answer" prompt="Select Yes or No" type="list">
      <formula1>"Yes,No"</formula1>
    </dataValidation>
    <dataValidation sqref="D11 D13 D14 D15 D19 D20 D21 D22 D25 D26 D27 D29 D30 D31 D34 D36 D37 D38 D39 D40 D42 D45 D46 D48 D49 D50 D54 D55 D56 D57"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N43"/>
  <sheetViews>
    <sheetView workbookViewId="0">
      <pane ySplit="1" topLeftCell="A2" activePane="bottomLeft" state="frozen"/>
      <selection pane="bottomLeft" activeCell="A1" sqref="A1"/>
    </sheetView>
  </sheetViews>
  <sheetFormatPr baseColWidth="8" defaultRowHeight="15"/>
  <cols>
    <col width="3" customWidth="1" min="1" max="1"/>
    <col width="40" customWidth="1" min="2" max="2"/>
    <col width="15" customWidth="1" min="3" max="3"/>
    <col width="15" customWidth="1" min="4" max="4"/>
    <col width="15" customWidth="1" min="5" max="5"/>
    <col width="3" customWidth="1" min="6" max="6"/>
    <col width="18" customWidth="1" min="13" max="13"/>
    <col width="10" customWidth="1" min="14" max="14"/>
  </cols>
  <sheetData>
    <row r="1" ht="50" customHeight="1">
      <c r="A1" s="1" t="inlineStr">
        <is>
          <t xml:space="preserve">  DEBMM Assessment Results</t>
        </is>
      </c>
      <c r="B1" s="2" t="n"/>
      <c r="C1" s="2" t="n"/>
      <c r="D1" s="2" t="n"/>
      <c r="E1" s="2" t="n"/>
      <c r="F1" s="2" t="n"/>
    </row>
    <row r="2">
      <c r="M2" t="inlineStr">
        <is>
          <t>Category</t>
        </is>
      </c>
      <c r="N2" t="inlineStr">
        <is>
          <t>Score</t>
        </is>
      </c>
    </row>
    <row r="3">
      <c r="B3" s="5" t="inlineStr">
        <is>
          <t>Organization:</t>
        </is>
      </c>
      <c r="C3" s="15">
        <f>Assessment!B3</f>
        <v/>
      </c>
      <c r="M3" t="inlineStr">
        <is>
          <t>Foundation</t>
        </is>
      </c>
      <c r="N3" s="16">
        <f>C13</f>
        <v/>
      </c>
    </row>
    <row r="4">
      <c r="B4" s="5" t="inlineStr">
        <is>
          <t>Assessor:</t>
        </is>
      </c>
      <c r="C4" s="15">
        <f>Assessment!B4</f>
        <v/>
      </c>
      <c r="M4" t="inlineStr">
        <is>
          <t>Basic</t>
        </is>
      </c>
      <c r="N4" s="16">
        <f>C18</f>
        <v/>
      </c>
    </row>
    <row r="5">
      <c r="B5" s="5" t="inlineStr">
        <is>
          <t>Date:</t>
        </is>
      </c>
      <c r="C5" s="15">
        <f>Assessment!B6</f>
        <v/>
      </c>
      <c r="M5" t="inlineStr">
        <is>
          <t>Intermediate</t>
        </is>
      </c>
      <c r="N5" s="16">
        <f>C25</f>
        <v/>
      </c>
    </row>
    <row r="6">
      <c r="B6" s="5" t="inlineStr">
        <is>
          <t>Type:</t>
        </is>
      </c>
      <c r="C6" s="15">
        <f>Assessment!B7</f>
        <v/>
      </c>
      <c r="M6" t="inlineStr">
        <is>
          <t>Advanced</t>
        </is>
      </c>
      <c r="N6" s="16">
        <f>C29</f>
        <v/>
      </c>
    </row>
    <row r="7">
      <c r="B7" s="5" t="inlineStr">
        <is>
          <t>Questions Answered:</t>
        </is>
      </c>
      <c r="C7" s="15">
        <f>COUNTA(Assessment!D11:D57)&amp;" / 41"</f>
        <v/>
      </c>
      <c r="M7" t="inlineStr">
        <is>
          <t>Expert</t>
        </is>
      </c>
      <c r="N7" s="16">
        <f>C33</f>
        <v/>
      </c>
    </row>
    <row r="8">
      <c r="M8" t="inlineStr">
        <is>
          <t>Enrichment: People &amp; Organization</t>
        </is>
      </c>
      <c r="N8" s="16">
        <f>C36</f>
        <v/>
      </c>
    </row>
    <row r="9">
      <c r="B9" s="17" t="inlineStr">
        <is>
          <t>Overall Maturity Score</t>
        </is>
      </c>
      <c r="C9" s="18" t="n"/>
      <c r="D9" s="17" t="inlineStr">
        <is>
          <t>Achieved Tier</t>
        </is>
      </c>
      <c r="E9" s="18" t="n"/>
      <c r="M9" t="inlineStr">
        <is>
          <t>Enrichment: Process &amp; Governance</t>
        </is>
      </c>
      <c r="N9" s="16">
        <f>C40</f>
        <v/>
      </c>
    </row>
    <row r="10" ht="55" customHeight="1">
      <c r="B10" s="19">
        <f>IF(COUNT(C14,C15,C16,C17,C19,C20,C21,C22,C23,C24,C26,C27,C28,C30,C31,C32,C34,C35,C37,C38,C39,C41,C42,C43)=0,"",ROUND(AVERAGE(C14,C15,C16,C17,C19,C20,C21,C22,C23,C24,C26,C27,C28,C30,C31,C32,C34,C35,C37,C38,C39,C41,C42,C43),2)&amp;" / 5.0")</f>
        <v/>
      </c>
      <c r="C10" s="20" t="n"/>
      <c r="D10" s="21">
        <f>IF(AND(AND(C14&gt;=3,C15&gt;=3,C16&gt;=3,C17&gt;=3),AND(C19&gt;=3,C20&gt;=3,C21&gt;=3,C22&gt;=3,C23&gt;=3,C24&gt;=3),AND(C26&gt;=3,C27&gt;=3,C28&gt;=3),AND(C30&gt;=3,C31&gt;=3,C32&gt;=3),AND(C34&gt;=3,C35&gt;=3)),"Tier 4: Expert",IF(AND(AND(C14&gt;=3,C15&gt;=3,C16&gt;=3,C17&gt;=3),AND(C19&gt;=3,C20&gt;=3,C21&gt;=3,C22&gt;=3,C23&gt;=3,C24&gt;=3),AND(C26&gt;=3,C27&gt;=3,C28&gt;=3),AND(C30&gt;=3,C31&gt;=3,C32&gt;=3)),"Tier 3: Advanced",IF(AND(AND(C14&gt;=3,C15&gt;=3,C16&gt;=3,C17&gt;=3),AND(C19&gt;=3,C20&gt;=3,C21&gt;=3,C22&gt;=3,C23&gt;=3,C24&gt;=3),AND(C26&gt;=3,C27&gt;=3,C28&gt;=3)),"Tier 2: Intermediate",IF(AND(AND(C14&gt;=3,C15&gt;=3,C16&gt;=3,C17&gt;=3),AND(C19&gt;=3,C20&gt;=3,C21&gt;=3,C22&gt;=3,C23&gt;=3,C24&gt;=3)),"Tier 1: Basic",IF(AND(AND(C14&gt;=3,C15&gt;=3,C16&gt;=3,C17&gt;=3)),"Tier 0: Foundation","Below Foundation")))))</f>
        <v/>
      </c>
      <c r="E10" s="20" t="n"/>
    </row>
    <row r="12">
      <c r="B12" s="7" t="inlineStr">
        <is>
          <t>Category / Criterion</t>
        </is>
      </c>
      <c r="C12" s="7" t="inlineStr">
        <is>
          <t>Score</t>
        </is>
      </c>
      <c r="D12" s="7" t="inlineStr">
        <is>
          <t>Level</t>
        </is>
      </c>
      <c r="E12" s="7" t="inlineStr">
        <is>
          <t>Status</t>
        </is>
      </c>
    </row>
    <row r="13">
      <c r="B13" s="22" t="inlineStr">
        <is>
          <t>Foundation</t>
        </is>
      </c>
      <c r="C13" s="23">
        <f>IF(COUNT(C14,C15,C16,C17)=0,"",AVERAGE(C14,C15,C16,C17))</f>
        <v/>
      </c>
      <c r="D13" s="24">
        <f>IF(C13="","",IF(C13&gt;=4.5,"Optimized",IF(C13&gt;=3.5,"Managed",IF(C13&gt;=2.5,"Defined",IF(C13&gt;=1.5,"Repeatable","Initial")))))</f>
        <v/>
      </c>
      <c r="E13" s="24" t="n"/>
    </row>
    <row r="14">
      <c r="B14" s="25" t="inlineStr">
        <is>
          <t xml:space="preserve">    Structured Rule Development Approach</t>
        </is>
      </c>
      <c r="C14" s="26">
        <f>IF(COUNT(Assessment!E11,Assessment!E12)=0,"",AVERAGE(Assessment!E11,Assessment!E12))</f>
        <v/>
      </c>
      <c r="D14" s="27">
        <f>IF(C14="","",IF(C14&gt;=4.5,"Optimized",IF(C14&gt;=3.5,"Managed",IF(C14&gt;=2.5,"Defined",IF(C14&gt;=1.5,"Repeatable","Initial")))))</f>
        <v/>
      </c>
      <c r="E14" s="27">
        <f>IF(C14="","",IF(C14&gt;=3,"✓ Pass","✗ Below Target"))</f>
        <v/>
      </c>
    </row>
    <row r="15">
      <c r="B15" s="25" t="inlineStr">
        <is>
          <t xml:space="preserve">    Rule Creation and Maintenance</t>
        </is>
      </c>
      <c r="C15" s="26">
        <f>IF(COUNT(Assessment!E13)=0,"",AVERAGE(Assessment!E13))</f>
        <v/>
      </c>
      <c r="D15" s="27">
        <f>IF(C15="","",IF(C15&gt;=4.5,"Optimized",IF(C15&gt;=3.5,"Managed",IF(C15&gt;=2.5,"Defined",IF(C15&gt;=1.5,"Repeatable","Initial")))))</f>
        <v/>
      </c>
      <c r="E15" s="27">
        <f>IF(C15="","",IF(C15&gt;=3,"✓ Pass","✗ Below Target"))</f>
        <v/>
      </c>
    </row>
    <row r="16">
      <c r="B16" s="25" t="inlineStr">
        <is>
          <t xml:space="preserve">    Roadmap Documentation</t>
        </is>
      </c>
      <c r="C16" s="26">
        <f>IF(COUNT(Assessment!E14)=0,"",AVERAGE(Assessment!E14))</f>
        <v/>
      </c>
      <c r="D16" s="27">
        <f>IF(C16="","",IF(C16&gt;=4.5,"Optimized",IF(C16&gt;=3.5,"Managed",IF(C16&gt;=2.5,"Defined",IF(C16&gt;=1.5,"Repeatable","Initial")))))</f>
        <v/>
      </c>
      <c r="E16" s="27">
        <f>IF(C16="","",IF(C16&gt;=3,"✓ Pass","✗ Below Target"))</f>
        <v/>
      </c>
    </row>
    <row r="17">
      <c r="B17" s="25" t="inlineStr">
        <is>
          <t xml:space="preserve">    Threat Modeling</t>
        </is>
      </c>
      <c r="C17" s="26">
        <f>IF(COUNT(Assessment!E15,Assessment!E16,Assessment!E17)=0,"",AVERAGE(Assessment!E15,Assessment!E16,Assessment!E17))</f>
        <v/>
      </c>
      <c r="D17" s="27">
        <f>IF(C17="","",IF(C17&gt;=4.5,"Optimized",IF(C17&gt;=3.5,"Managed",IF(C17&gt;=2.5,"Defined",IF(C17&gt;=1.5,"Repeatable","Initial")))))</f>
        <v/>
      </c>
      <c r="E17" s="27">
        <f>IF(C17="","",IF(C17&gt;=3,"✓ Pass","✗ Below Target"))</f>
        <v/>
      </c>
    </row>
    <row r="18">
      <c r="B18" s="22" t="inlineStr">
        <is>
          <t>Basic</t>
        </is>
      </c>
      <c r="C18" s="23">
        <f>IF(COUNT(C19,C20,C21,C22,C23,C24)=0,"",AVERAGE(C19,C20,C21,C22,C23,C24))</f>
        <v/>
      </c>
      <c r="D18" s="24">
        <f>IF(C18="","",IF(C18&gt;=4.5,"Optimized",IF(C18&gt;=3.5,"Managed",IF(C18&gt;=2.5,"Defined",IF(C18&gt;=1.5,"Repeatable","Initial")))))</f>
        <v/>
      </c>
      <c r="E18" s="24" t="n"/>
    </row>
    <row r="19">
      <c r="B19" s="25" t="inlineStr">
        <is>
          <t xml:space="preserve">    Baseline Rule Creation</t>
        </is>
      </c>
      <c r="C19" s="26">
        <f>IF(COUNT(Assessment!E19,Assessment!E20)=0,"",AVERAGE(Assessment!E19,Assessment!E20))</f>
        <v/>
      </c>
      <c r="D19" s="27">
        <f>IF(C19="","",IF(C19&gt;=4.5,"Optimized",IF(C19&gt;=3.5,"Managed",IF(C19&gt;=2.5,"Defined",IF(C19&gt;=1.5,"Repeatable","Initial")))))</f>
        <v/>
      </c>
      <c r="E19" s="27">
        <f>IF(C19="","",IF(C19&gt;=3,"✓ Pass","✗ Below Target"))</f>
        <v/>
      </c>
    </row>
    <row r="20">
      <c r="B20" s="25" t="inlineStr">
        <is>
          <t xml:space="preserve">    Ruleset Management and Maintenance</t>
        </is>
      </c>
      <c r="C20" s="26">
        <f>IF(COUNT(Assessment!E21)=0,"",AVERAGE(Assessment!E21))</f>
        <v/>
      </c>
      <c r="D20" s="27">
        <f>IF(C20="","",IF(C20&gt;=4.5,"Optimized",IF(C20&gt;=3.5,"Managed",IF(C20&gt;=2.5,"Defined",IF(C20&gt;=1.5,"Repeatable","Initial")))))</f>
        <v/>
      </c>
      <c r="E20" s="27">
        <f>IF(C20="","",IF(C20&gt;=3,"✓ Pass","✗ Below Target"))</f>
        <v/>
      </c>
    </row>
    <row r="21">
      <c r="B21" s="25" t="inlineStr">
        <is>
          <t xml:space="preserve">    Telemetry Quality</t>
        </is>
      </c>
      <c r="C21" s="26">
        <f>IF(COUNT(Assessment!E22,Assessment!E23,Assessment!E24)=0,"",AVERAGE(Assessment!E22,Assessment!E23,Assessment!E24))</f>
        <v/>
      </c>
      <c r="D21" s="27">
        <f>IF(C21="","",IF(C21&gt;=4.5,"Optimized",IF(C21&gt;=3.5,"Managed",IF(C21&gt;=2.5,"Defined",IF(C21&gt;=1.5,"Repeatable","Initial")))))</f>
        <v/>
      </c>
      <c r="E21" s="27">
        <f>IF(C21="","",IF(C21&gt;=3,"✓ Pass","✗ Below Target"))</f>
        <v/>
      </c>
    </row>
    <row r="22">
      <c r="B22" s="25" t="inlineStr">
        <is>
          <t xml:space="preserve">    Threat Landscape Review</t>
        </is>
      </c>
      <c r="C22" s="26">
        <f>IF(COUNT(Assessment!E25)=0,"",AVERAGE(Assessment!E25))</f>
        <v/>
      </c>
      <c r="D22" s="27">
        <f>IF(C22="","",IF(C22&gt;=4.5,"Optimized",IF(C22&gt;=3.5,"Managed",IF(C22&gt;=2.5,"Defined",IF(C22&gt;=1.5,"Repeatable","Initial")))))</f>
        <v/>
      </c>
      <c r="E22" s="27">
        <f>IF(C22="","",IF(C22&gt;=3,"✓ Pass","✗ Below Target"))</f>
        <v/>
      </c>
    </row>
    <row r="23">
      <c r="B23" s="25" t="inlineStr">
        <is>
          <t xml:space="preserve">    Product Owner Engagement</t>
        </is>
      </c>
      <c r="C23" s="26">
        <f>IF(COUNT(Assessment!E26)=0,"",AVERAGE(Assessment!E26))</f>
        <v/>
      </c>
      <c r="D23" s="27">
        <f>IF(C23="","",IF(C23&gt;=4.5,"Optimized",IF(C23&gt;=3.5,"Managed",IF(C23&gt;=2.5,"Defined",IF(C23&gt;=1.5,"Repeatable","Initial")))))</f>
        <v/>
      </c>
      <c r="E23" s="27">
        <f>IF(C23="","",IF(C23&gt;=3,"✓ Pass","✗ Below Target"))</f>
        <v/>
      </c>
    </row>
    <row r="24">
      <c r="B24" s="25" t="inlineStr">
        <is>
          <t xml:space="preserve">    Release Testing and Validation</t>
        </is>
      </c>
      <c r="C24" s="26">
        <f>IF(COUNT(Assessment!E27)=0,"",AVERAGE(Assessment!E27))</f>
        <v/>
      </c>
      <c r="D24" s="27">
        <f>IF(C24="","",IF(C24&gt;=4.5,"Optimized",IF(C24&gt;=3.5,"Managed",IF(C24&gt;=2.5,"Defined",IF(C24&gt;=1.5,"Repeatable","Initial")))))</f>
        <v/>
      </c>
      <c r="E24" s="27">
        <f>IF(C24="","",IF(C24&gt;=3,"✓ Pass","✗ Below Target"))</f>
        <v/>
      </c>
    </row>
    <row r="25">
      <c r="B25" s="22" t="inlineStr">
        <is>
          <t>Intermediate</t>
        </is>
      </c>
      <c r="C25" s="23">
        <f>IF(COUNT(C26,C27,C28)=0,"",AVERAGE(C26,C27,C28))</f>
        <v/>
      </c>
      <c r="D25" s="24">
        <f>IF(C25="","",IF(C25&gt;=4.5,"Optimized",IF(C25&gt;=3.5,"Managed",IF(C25&gt;=2.5,"Defined",IF(C25&gt;=1.5,"Repeatable","Initial")))))</f>
        <v/>
      </c>
      <c r="E25" s="24" t="n"/>
    </row>
    <row r="26">
      <c r="B26" s="25" t="inlineStr">
        <is>
          <t xml:space="preserve">    False Positive Tuning and Reduction</t>
        </is>
      </c>
      <c r="C26" s="26">
        <f>IF(COUNT(Assessment!E29,Assessment!E30)=0,"",AVERAGE(Assessment!E29,Assessment!E30))</f>
        <v/>
      </c>
      <c r="D26" s="27">
        <f>IF(C26="","",IF(C26&gt;=4.5,"Optimized",IF(C26&gt;=3.5,"Managed",IF(C26&gt;=2.5,"Defined",IF(C26&gt;=1.5,"Repeatable","Initial")))))</f>
        <v/>
      </c>
      <c r="E26" s="27">
        <f>IF(C26="","",IF(C26&gt;=3,"✓ Pass","✗ Below Target"))</f>
        <v/>
      </c>
    </row>
    <row r="27">
      <c r="B27" s="25" t="inlineStr">
        <is>
          <t xml:space="preserve">    Gap Analysis and Documentation</t>
        </is>
      </c>
      <c r="C27" s="26">
        <f>IF(COUNT(Assessment!E31,Assessment!E32,Assessment!E33)=0,"",AVERAGE(Assessment!E31,Assessment!E32,Assessment!E33))</f>
        <v/>
      </c>
      <c r="D27" s="27">
        <f>IF(C27="","",IF(C27&gt;=4.5,"Optimized",IF(C27&gt;=3.5,"Managed",IF(C27&gt;=2.5,"Defined",IF(C27&gt;=1.5,"Repeatable","Initial")))))</f>
        <v/>
      </c>
      <c r="E27" s="27">
        <f>IF(C27="","",IF(C27&gt;=3,"✓ Pass","✗ Below Target"))</f>
        <v/>
      </c>
    </row>
    <row r="28">
      <c r="B28" s="25" t="inlineStr">
        <is>
          <t xml:space="preserve">    Internal Testing and Validation</t>
        </is>
      </c>
      <c r="C28" s="26">
        <f>IF(COUNT(Assessment!E34)=0,"",AVERAGE(Assessment!E34))</f>
        <v/>
      </c>
      <c r="D28" s="27">
        <f>IF(C28="","",IF(C28&gt;=4.5,"Optimized",IF(C28&gt;=3.5,"Managed",IF(C28&gt;=2.5,"Defined",IF(C28&gt;=1.5,"Repeatable","Initial")))))</f>
        <v/>
      </c>
      <c r="E28" s="27">
        <f>IF(C28="","",IF(C28&gt;=3,"✓ Pass","✗ Below Target"))</f>
        <v/>
      </c>
    </row>
    <row r="29">
      <c r="B29" s="22" t="inlineStr">
        <is>
          <t>Advanced</t>
        </is>
      </c>
      <c r="C29" s="23">
        <f>IF(COUNT(C30,C31,C32)=0,"",AVERAGE(C30,C31,C32))</f>
        <v/>
      </c>
      <c r="D29" s="24">
        <f>IF(C29="","",IF(C29&gt;=4.5,"Optimized",IF(C29&gt;=3.5,"Managed",IF(C29&gt;=2.5,"Defined",IF(C29&gt;=1.5,"Repeatable","Initial")))))</f>
        <v/>
      </c>
      <c r="E29" s="24" t="n"/>
    </row>
    <row r="30">
      <c r="B30" s="25" t="inlineStr">
        <is>
          <t xml:space="preserve">    False Negative Triage</t>
        </is>
      </c>
      <c r="C30" s="26">
        <f>IF(COUNT(Assessment!E36,Assessment!E37)=0,"",AVERAGE(Assessment!E36,Assessment!E37))</f>
        <v/>
      </c>
      <c r="D30" s="27">
        <f>IF(C30="","",IF(C30&gt;=4.5,"Optimized",IF(C30&gt;=3.5,"Managed",IF(C30&gt;=2.5,"Defined",IF(C30&gt;=1.5,"Repeatable","Initial")))))</f>
        <v/>
      </c>
      <c r="E30" s="27">
        <f>IF(C30="","",IF(C30&gt;=3,"✓ Pass","✗ Below Target"))</f>
        <v/>
      </c>
    </row>
    <row r="31">
      <c r="B31" s="25" t="inlineStr">
        <is>
          <t xml:space="preserve">    External Validation</t>
        </is>
      </c>
      <c r="C31" s="26">
        <f>IF(COUNT(Assessment!E38)=0,"",AVERAGE(Assessment!E38))</f>
        <v/>
      </c>
      <c r="D31" s="27">
        <f>IF(C31="","",IF(C31&gt;=4.5,"Optimized",IF(C31&gt;=3.5,"Managed",IF(C31&gt;=2.5,"Defined",IF(C31&gt;=1.5,"Repeatable","Initial")))))</f>
        <v/>
      </c>
      <c r="E31" s="27">
        <f>IF(C31="","",IF(C31&gt;=3,"✓ Pass","✗ Below Target"))</f>
        <v/>
      </c>
    </row>
    <row r="32">
      <c r="B32" s="25" t="inlineStr">
        <is>
          <t xml:space="preserve">    Advanced TTP Coverage</t>
        </is>
      </c>
      <c r="C32" s="26">
        <f>IF(COUNT(Assessment!E39,Assessment!E40)=0,"",AVERAGE(Assessment!E39,Assessment!E40))</f>
        <v/>
      </c>
      <c r="D32" s="27">
        <f>IF(C32="","",IF(C32&gt;=4.5,"Optimized",IF(C32&gt;=3.5,"Managed",IF(C32&gt;=2.5,"Defined",IF(C32&gt;=1.5,"Repeatable","Initial")))))</f>
        <v/>
      </c>
      <c r="E32" s="27">
        <f>IF(C32="","",IF(C32&gt;=3,"✓ Pass","✗ Below Target"))</f>
        <v/>
      </c>
    </row>
    <row r="33">
      <c r="B33" s="22" t="inlineStr">
        <is>
          <t>Expert</t>
        </is>
      </c>
      <c r="C33" s="23">
        <f>IF(COUNT(C34,C35)=0,"",AVERAGE(C34,C35))</f>
        <v/>
      </c>
      <c r="D33" s="24">
        <f>IF(C33="","",IF(C33&gt;=4.5,"Optimized",IF(C33&gt;=3.5,"Managed",IF(C33&gt;=2.5,"Defined",IF(C33&gt;=1.5,"Repeatable","Initial")))))</f>
        <v/>
      </c>
      <c r="E33" s="24" t="n"/>
    </row>
    <row r="34">
      <c r="B34" s="25" t="inlineStr">
        <is>
          <t xml:space="preserve">    Threat Hunting in Telemetry</t>
        </is>
      </c>
      <c r="C34" s="26">
        <f>IF(COUNT(Assessment!E42,Assessment!E43,Assessment!E44)=0,"",AVERAGE(Assessment!E42,Assessment!E43,Assessment!E44))</f>
        <v/>
      </c>
      <c r="D34" s="27">
        <f>IF(C34="","",IF(C34&gt;=4.5,"Optimized",IF(C34&gt;=3.5,"Managed",IF(C34&gt;=2.5,"Defined",IF(C34&gt;=1.5,"Repeatable","Initial")))))</f>
        <v/>
      </c>
      <c r="E34" s="27">
        <f>IF(C34="","",IF(C34&gt;=3,"✓ Pass","✗ Below Target"))</f>
        <v/>
      </c>
    </row>
    <row r="35">
      <c r="B35" s="25" t="inlineStr">
        <is>
          <t xml:space="preserve">    Automation and Continuous Improvement</t>
        </is>
      </c>
      <c r="C35" s="26">
        <f>IF(COUNT(Assessment!E45,Assessment!E46)=0,"",AVERAGE(Assessment!E45,Assessment!E46))</f>
        <v/>
      </c>
      <c r="D35" s="27">
        <f>IF(C35="","",IF(C35&gt;=4.5,"Optimized",IF(C35&gt;=3.5,"Managed",IF(C35&gt;=2.5,"Defined",IF(C35&gt;=1.5,"Repeatable","Initial")))))</f>
        <v/>
      </c>
      <c r="E35" s="27">
        <f>IF(C35="","",IF(C35&gt;=3,"✓ Pass","✗ Below Target"))</f>
        <v/>
      </c>
    </row>
    <row r="36">
      <c r="B36" s="22" t="inlineStr">
        <is>
          <t>Enrichment: People &amp; Organization</t>
        </is>
      </c>
      <c r="C36" s="23">
        <f>IF(COUNT(C37,C38,C39)=0,"",AVERAGE(C37,C38,C39))</f>
        <v/>
      </c>
      <c r="D36" s="24">
        <f>IF(C36="","",IF(C36&gt;=4.5,"Optimized",IF(C36&gt;=3.5,"Managed",IF(C36&gt;=2.5,"Defined",IF(C36&gt;=1.5,"Repeatable","Initial")))))</f>
        <v/>
      </c>
      <c r="E36" s="24" t="n"/>
    </row>
    <row r="37">
      <c r="B37" s="25" t="inlineStr">
        <is>
          <t xml:space="preserve">    Team Structure and Dedicated Roles</t>
        </is>
      </c>
      <c r="C37" s="26">
        <f>IF(COUNT(Assessment!E48)=0,"",AVERAGE(Assessment!E48))</f>
        <v/>
      </c>
      <c r="D37" s="27">
        <f>IF(C37="","",IF(C37&gt;=4.5,"Optimized",IF(C37&gt;=3.5,"Managed",IF(C37&gt;=2.5,"Defined",IF(C37&gt;=1.5,"Repeatable","Initial")))))</f>
        <v/>
      </c>
      <c r="E37" s="27">
        <f>IF(C37="","",IF(C37&gt;=3,"✓ Pass","✗ Below Target"))</f>
        <v/>
      </c>
    </row>
    <row r="38">
      <c r="B38" s="25" t="inlineStr">
        <is>
          <t xml:space="preserve">    Skills Development and Training</t>
        </is>
      </c>
      <c r="C38" s="26">
        <f>IF(COUNT(Assessment!E49)=0,"",AVERAGE(Assessment!E49))</f>
        <v/>
      </c>
      <c r="D38" s="27">
        <f>IF(C38="","",IF(C38&gt;=4.5,"Optimized",IF(C38&gt;=3.5,"Managed",IF(C38&gt;=2.5,"Defined",IF(C38&gt;=1.5,"Repeatable","Initial")))))</f>
        <v/>
      </c>
      <c r="E38" s="27">
        <f>IF(C38="","",IF(C38&gt;=3,"✓ Pass","✗ Below Target"))</f>
        <v/>
      </c>
    </row>
    <row r="39">
      <c r="B39" s="25" t="inlineStr">
        <is>
          <t xml:space="preserve">    Leadership Commitment and Executive Sponsorship</t>
        </is>
      </c>
      <c r="C39" s="26">
        <f>IF(COUNT(Assessment!E50,Assessment!E51,Assessment!E52)=0,"",AVERAGE(Assessment!E50,Assessment!E51,Assessment!E52))</f>
        <v/>
      </c>
      <c r="D39" s="27">
        <f>IF(C39="","",IF(C39&gt;=4.5,"Optimized",IF(C39&gt;=3.5,"Managed",IF(C39&gt;=2.5,"Defined",IF(C39&gt;=1.5,"Repeatable","Initial")))))</f>
        <v/>
      </c>
      <c r="E39" s="27">
        <f>IF(C39="","",IF(C39&gt;=3,"✓ Pass","✗ Below Target"))</f>
        <v/>
      </c>
    </row>
    <row r="40">
      <c r="B40" s="22" t="inlineStr">
        <is>
          <t>Enrichment: Process &amp; Governance</t>
        </is>
      </c>
      <c r="C40" s="23">
        <f>IF(COUNT(C41,C42,C43)=0,"",AVERAGE(C41,C42,C43))</f>
        <v/>
      </c>
      <c r="D40" s="24">
        <f>IF(C40="","",IF(C40&gt;=4.5,"Optimized",IF(C40&gt;=3.5,"Managed",IF(C40&gt;=2.5,"Defined",IF(C40&gt;=1.5,"Repeatable","Initial")))))</f>
        <v/>
      </c>
      <c r="E40" s="24" t="n"/>
    </row>
    <row r="41">
      <c r="B41" s="25" t="inlineStr">
        <is>
          <t xml:space="preserve">    Detection Lifecycle Workflow</t>
        </is>
      </c>
      <c r="C41" s="26">
        <f>IF(COUNT(Assessment!E54)=0,"",AVERAGE(Assessment!E54))</f>
        <v/>
      </c>
      <c r="D41" s="27">
        <f>IF(C41="","",IF(C41&gt;=4.5,"Optimized",IF(C41&gt;=3.5,"Managed",IF(C41&gt;=2.5,"Defined",IF(C41&gt;=1.5,"Repeatable","Initial")))))</f>
        <v/>
      </c>
      <c r="E41" s="27">
        <f>IF(C41="","",IF(C41&gt;=3,"✓ Pass","✗ Below Target"))</f>
        <v/>
      </c>
    </row>
    <row r="42">
      <c r="B42" s="25" t="inlineStr">
        <is>
          <t xml:space="preserve">    Metrics and KPI Tracking</t>
        </is>
      </c>
      <c r="C42" s="26">
        <f>IF(COUNT(Assessment!E55,Assessment!E56)=0,"",AVERAGE(Assessment!E55,Assessment!E56))</f>
        <v/>
      </c>
      <c r="D42" s="27">
        <f>IF(C42="","",IF(C42&gt;=4.5,"Optimized",IF(C42&gt;=3.5,"Managed",IF(C42&gt;=2.5,"Defined",IF(C42&gt;=1.5,"Repeatable","Initial")))))</f>
        <v/>
      </c>
      <c r="E42" s="27">
        <f>IF(C42="","",IF(C42&gt;=3,"✓ Pass","✗ Below Target"))</f>
        <v/>
      </c>
    </row>
    <row r="43">
      <c r="B43" s="25" t="inlineStr">
        <is>
          <t xml:space="preserve">    Cross-Team Collaboration</t>
        </is>
      </c>
      <c r="C43" s="26">
        <f>IF(COUNT(Assessment!E57)=0,"",AVERAGE(Assessment!E57))</f>
        <v/>
      </c>
      <c r="D43" s="27">
        <f>IF(C43="","",IF(C43&gt;=4.5,"Optimized",IF(C43&gt;=3.5,"Managed",IF(C43&gt;=2.5,"Defined",IF(C43&gt;=1.5,"Repeatable","Initial")))))</f>
        <v/>
      </c>
      <c r="E43" s="27">
        <f>IF(C43="","",IF(C43&gt;=3,"✓ Pass","✗ Below Target"))</f>
        <v/>
      </c>
    </row>
  </sheetData>
  <mergeCells count="5">
    <mergeCell ref="D10:E10"/>
    <mergeCell ref="A1:F1"/>
    <mergeCell ref="B10:C10"/>
    <mergeCell ref="B9:C9"/>
    <mergeCell ref="D9:E9"/>
  </mergeCells>
  <conditionalFormatting sqref="C13:C43">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E13:E43">
    <cfRule type="cellIs" priority="5" operator="equal" dxfId="3">
      <formula>"✓ Pass"</formula>
    </cfRule>
    <cfRule type="cellIs" priority="6" operator="equal" dxfId="0">
      <formula>"✗ Below Target"</formula>
    </cfRule>
  </conditionalFormatting>
  <conditionalFormatting sqref="B10:C10">
    <cfRule type="cellIs" priority="7" operator="between" dxfId="0">
      <formula>1</formula>
      <formula>1.49</formula>
    </cfRule>
    <cfRule type="cellIs" priority="8" operator="between" dxfId="1">
      <formula>1.5</formula>
      <formula>2.49</formula>
    </cfRule>
    <cfRule type="cellIs" priority="9" operator="between" dxfId="2">
      <formula>2.5</formula>
      <formula>3.49</formula>
    </cfRule>
    <cfRule type="cellIs" priority="10" operator="between" dxfId="3">
      <formula>3.5</formula>
      <formula>5</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ED7D31"/>
    <outlinePr summaryBelow="1" summaryRight="1"/>
    <pageSetUpPr/>
  </sheetPr>
  <dimension ref="A1:C207"/>
  <sheetViews>
    <sheetView workbookViewId="0">
      <pane ySplit="1" topLeftCell="A2" activePane="bottomLeft" state="frozen"/>
      <selection pane="bottomLeft" activeCell="A1" sqref="A1"/>
    </sheetView>
  </sheetViews>
  <sheetFormatPr baseColWidth="8" defaultRowHeight="15"/>
  <cols>
    <col width="14" customWidth="1" min="1" max="1"/>
    <col width="65" customWidth="1" min="2" max="2"/>
    <col width="45" customWidth="1" min="3" max="3"/>
  </cols>
  <sheetData>
    <row r="1" ht="44" customHeight="1">
      <c r="A1" s="1" t="inlineStr">
        <is>
          <t xml:space="preserve">  DEBMM Rubric Reference</t>
        </is>
      </c>
      <c r="B1" s="2" t="n"/>
      <c r="C1" s="2" t="n"/>
    </row>
    <row r="3" ht="32" customHeight="1">
      <c r="A3" s="8" t="inlineStr">
        <is>
          <t>Foundation</t>
        </is>
      </c>
      <c r="B3" s="2" t="n"/>
      <c r="C3" s="2" t="n"/>
    </row>
    <row r="4" ht="28" customHeight="1">
      <c r="A4" s="28" t="inlineStr">
        <is>
          <t>Establishes the basic groundwork for detection engineering. Without these foundational practices, higher-tier activities lack structure and consistency.</t>
        </is>
      </c>
    </row>
    <row r="5" ht="26" customHeight="1">
      <c r="A5" s="29" t="inlineStr">
        <is>
          <t>Structured Rule Development Approach</t>
        </is>
      </c>
      <c r="B5" s="30" t="n"/>
      <c r="C5" s="30" t="n"/>
    </row>
    <row r="6" ht="22" customHeight="1">
      <c r="A6" s="7" t="inlineStr">
        <is>
          <t>Level</t>
        </is>
      </c>
      <c r="B6" s="7" t="inlineStr">
        <is>
          <t>Description</t>
        </is>
      </c>
      <c r="C6" s="7" t="inlineStr">
        <is>
          <t>Quantitative Measure</t>
        </is>
      </c>
    </row>
    <row r="7" ht="42" customHeight="1">
      <c r="A7" s="31" t="inlineStr">
        <is>
          <t>1 — Initial</t>
        </is>
      </c>
      <c r="B7" s="32" t="inlineStr">
        <is>
          <t>No structured approach to rule development. Rules are created randomly or reactively without any guiding methodology.</t>
        </is>
      </c>
      <c r="C7" s="32" t="inlineStr">
        <is>
          <t>0% of rules follow a formal development process.</t>
        </is>
      </c>
    </row>
    <row r="8" ht="42" customHeight="1">
      <c r="A8" s="31" t="inlineStr">
        <is>
          <t>2 — Repeatable</t>
        </is>
      </c>
      <c r="B8" s="32" t="inlineStr">
        <is>
          <t>Some rules follow a loose process, but it is inconsistently applied. Individual contributors may have personal workflows.</t>
        </is>
      </c>
      <c r="C8" s="32" t="inlineStr">
        <is>
          <t>&lt;30% of rules follow a documented development process.</t>
        </is>
      </c>
    </row>
    <row r="9" ht="42" customHeight="1">
      <c r="A9" s="33" t="inlineStr">
        <is>
          <t>3 — Defined</t>
        </is>
      </c>
      <c r="B9" s="34" t="inlineStr">
        <is>
          <t>A defined rule development methodology exists and is documented. Most new rules follow the standard process including peer review.</t>
        </is>
      </c>
      <c r="C9" s="34" t="inlineStr">
        <is>
          <t>50-70% of rules follow the documented process; schema alignment &gt;60%.</t>
        </is>
      </c>
    </row>
    <row r="10" ht="42" customHeight="1">
      <c r="A10" s="35" t="inlineStr">
        <is>
          <t>4 — Managed</t>
        </is>
      </c>
      <c r="B10" s="36" t="inlineStr">
        <is>
          <t>Rule development is standardized across the team with enforced workflows, templates, and quality gates. Deviations are tracked and addressed.</t>
        </is>
      </c>
      <c r="C10" s="36" t="inlineStr">
        <is>
          <t>80-90% schema alignment; all new rules go through formal review.</t>
        </is>
      </c>
    </row>
    <row r="11" ht="42" customHeight="1">
      <c r="A11" s="35" t="inlineStr">
        <is>
          <t>5 — Optimized</t>
        </is>
      </c>
      <c r="B11" s="36" t="inlineStr">
        <is>
          <t>Continuous improvement of the development process based on feedback loops. Process is fully integrated with CI/CD and automated quality checks.</t>
        </is>
      </c>
      <c r="C11" s="36" t="inlineStr">
        <is>
          <t>90-100% schema alignment; automated linting and validation on all rules.</t>
        </is>
      </c>
    </row>
    <row r="13" ht="26" customHeight="1">
      <c r="A13" s="29" t="inlineStr">
        <is>
          <t>Rule Creation and Maintenance</t>
        </is>
      </c>
      <c r="B13" s="30" t="n"/>
      <c r="C13" s="30" t="n"/>
    </row>
    <row r="14" ht="22" customHeight="1">
      <c r="A14" s="7" t="inlineStr">
        <is>
          <t>Level</t>
        </is>
      </c>
      <c r="B14" s="7" t="inlineStr">
        <is>
          <t>Description</t>
        </is>
      </c>
      <c r="C14" s="7" t="inlineStr">
        <is>
          <t>Quantitative Measure</t>
        </is>
      </c>
    </row>
    <row r="15" ht="42" customHeight="1">
      <c r="A15" s="31" t="inlineStr">
        <is>
          <t>1 — Initial</t>
        </is>
      </c>
      <c r="B15" s="32" t="inlineStr">
        <is>
          <t>Rules are created ad hoc with no maintenance schedule. Stale or broken rules accumulate over time.</t>
        </is>
      </c>
      <c r="C15" s="32" t="inlineStr">
        <is>
          <t>&lt;50% of rules reviewed annually.</t>
        </is>
      </c>
    </row>
    <row r="16" ht="42" customHeight="1">
      <c r="A16" s="31" t="inlineStr">
        <is>
          <t>2 — Repeatable</t>
        </is>
      </c>
      <c r="B16" s="32" t="inlineStr">
        <is>
          <t>Some rules are periodically reviewed, but there is no systematic maintenance process. Updates happen reactively.</t>
        </is>
      </c>
      <c r="C16" s="32" t="inlineStr">
        <is>
          <t>50-70% of rules reviewed annually; no formal peer review.</t>
        </is>
      </c>
    </row>
    <row r="17" ht="42" customHeight="1">
      <c r="A17" s="33" t="inlineStr">
        <is>
          <t>3 — Defined</t>
        </is>
      </c>
      <c r="B17" s="34" t="inlineStr">
        <is>
          <t>Regular rule review cycles are established. Rules have owners and defined review schedules. Peer review is standard practice.</t>
        </is>
      </c>
      <c r="C17" s="34" t="inlineStr">
        <is>
          <t>70-80% of rules reviewed on schedule; peer review on most changes.</t>
        </is>
      </c>
    </row>
    <row r="18" ht="42" customHeight="1">
      <c r="A18" s="35" t="inlineStr">
        <is>
          <t>4 — Managed</t>
        </is>
      </c>
      <c r="B18" s="36" t="inlineStr">
        <is>
          <t>Comprehensive rule lifecycle management with creation, testing, deployment, monitoring, and retirement processes. All changes are peer-reviewed.</t>
        </is>
      </c>
      <c r="C18" s="36" t="inlineStr">
        <is>
          <t>80-90% of rules reviewed on schedule; 100% peer review on changes.</t>
        </is>
      </c>
    </row>
    <row r="19" ht="42" customHeight="1">
      <c r="A19" s="35" t="inlineStr">
        <is>
          <t>5 — Optimized</t>
        </is>
      </c>
      <c r="B19" s="36" t="inlineStr">
        <is>
          <t>Continuous rule improvement with automated monitoring of rule health. Automated updates triggered by telemetry changes or threat intelligence.</t>
        </is>
      </c>
      <c r="C19" s="36" t="inlineStr">
        <is>
          <t>90-100% of rules reviewed on schedule; automated health monitoring.</t>
        </is>
      </c>
    </row>
    <row r="21" ht="26" customHeight="1">
      <c r="A21" s="29" t="inlineStr">
        <is>
          <t>Roadmap Documentation</t>
        </is>
      </c>
      <c r="B21" s="30" t="n"/>
      <c r="C21" s="30" t="n"/>
    </row>
    <row r="22" ht="22" customHeight="1">
      <c r="A22" s="7" t="inlineStr">
        <is>
          <t>Level</t>
        </is>
      </c>
      <c r="B22" s="7" t="inlineStr">
        <is>
          <t>Description</t>
        </is>
      </c>
      <c r="C22" s="7" t="inlineStr">
        <is>
          <t>Quantitative Measure</t>
        </is>
      </c>
    </row>
    <row r="23" ht="42" customHeight="1">
      <c r="A23" s="31" t="inlineStr">
        <is>
          <t>1 — Initial</t>
        </is>
      </c>
      <c r="B23" s="32" t="inlineStr">
        <is>
          <t>No detection roadmap exists. Work is entirely reactive or driven by individual initiative.</t>
        </is>
      </c>
      <c r="C23" s="32" t="inlineStr">
        <is>
          <t>0% of detection work tied to a documented plan.</t>
        </is>
      </c>
    </row>
    <row r="24" ht="42" customHeight="1">
      <c r="A24" s="31" t="inlineStr">
        <is>
          <t>2 — Repeatable</t>
        </is>
      </c>
      <c r="B24" s="32" t="inlineStr">
        <is>
          <t>An informal roadmap or backlog exists but is not regularly maintained or communicated to stakeholders.</t>
        </is>
      </c>
      <c r="C24" s="32" t="inlineStr">
        <is>
          <t>&lt;30% of rules have scheduled review or development timelines.</t>
        </is>
      </c>
    </row>
    <row r="25" ht="42" customHeight="1">
      <c r="A25" s="33" t="inlineStr">
        <is>
          <t>3 — Defined</t>
        </is>
      </c>
      <c r="B25" s="34" t="inlineStr">
        <is>
          <t>A formal roadmap is documented, reviewed quarterly, and shared with relevant stakeholders. Priorities are clear.</t>
        </is>
      </c>
      <c r="C25" s="34" t="inlineStr">
        <is>
          <t>50-70% of planned work is tracked against the roadmap.</t>
        </is>
      </c>
    </row>
    <row r="26" ht="42" customHeight="1">
      <c r="A26" s="35" t="inlineStr">
        <is>
          <t>4 — Managed</t>
        </is>
      </c>
      <c r="B26" s="36" t="inlineStr">
        <is>
          <t>Roadmap is integrated with organizational security strategy. Progress is tracked with metrics and reported to leadership.</t>
        </is>
      </c>
      <c r="C26" s="36" t="inlineStr">
        <is>
          <t>70-90% of planned work tracked; quarterly roadmap reviews with leadership.</t>
        </is>
      </c>
    </row>
    <row r="27" ht="42" customHeight="1">
      <c r="A27" s="35" t="inlineStr">
        <is>
          <t>5 — Optimized</t>
        </is>
      </c>
      <c r="B27" s="36" t="inlineStr">
        <is>
          <t>Dynamic, continuously updated roadmap driven by threat intelligence, gap analysis, and organizational risk priorities.</t>
        </is>
      </c>
      <c r="C27" s="36" t="inlineStr">
        <is>
          <t>90-100% of work tracked; roadmap auto-updated from gap analysis and intel feeds.</t>
        </is>
      </c>
    </row>
    <row r="29" ht="26" customHeight="1">
      <c r="A29" s="29" t="inlineStr">
        <is>
          <t>Threat Modeling</t>
        </is>
      </c>
      <c r="B29" s="30" t="n"/>
      <c r="C29" s="30" t="n"/>
    </row>
    <row r="30" ht="22" customHeight="1">
      <c r="A30" s="7" t="inlineStr">
        <is>
          <t>Level</t>
        </is>
      </c>
      <c r="B30" s="7" t="inlineStr">
        <is>
          <t>Description</t>
        </is>
      </c>
      <c r="C30" s="7" t="inlineStr">
        <is>
          <t>Quantitative Measure</t>
        </is>
      </c>
    </row>
    <row r="31" ht="42" customHeight="1">
      <c r="A31" s="31" t="inlineStr">
        <is>
          <t>1 — Initial</t>
        </is>
      </c>
      <c r="B31" s="32" t="inlineStr">
        <is>
          <t>No threat modeling is performed. Detection rules are not informed by a structured understanding of threats to the organization.</t>
        </is>
      </c>
      <c r="C31" s="32" t="inlineStr">
        <is>
          <t>Zero threat modeling exercises performed.</t>
        </is>
      </c>
    </row>
    <row r="32" ht="42" customHeight="1">
      <c r="A32" s="31" t="inlineStr">
        <is>
          <t>2 — Repeatable</t>
        </is>
      </c>
      <c r="B32" s="32" t="inlineStr">
        <is>
          <t>Occasional threat modeling exercises, typically triggered by incidents or major changes. Not regularly scheduled.</t>
        </is>
      </c>
      <c r="C32" s="32" t="inlineStr">
        <is>
          <t>&lt;1 formal threat modeling exercise per year.</t>
        </is>
      </c>
    </row>
    <row r="33" ht="42" customHeight="1">
      <c r="A33" s="33" t="inlineStr">
        <is>
          <t>3 — Defined</t>
        </is>
      </c>
      <c r="B33" s="34" t="inlineStr">
        <is>
          <t>Regular threat modeling exercises (at least quarterly) inform detection priorities. Results are documented and fed into the roadmap.</t>
        </is>
      </c>
      <c r="C33" s="34" t="inlineStr">
        <is>
          <t>Quarterly threat modeling exercises; results documented.</t>
        </is>
      </c>
    </row>
    <row r="34" ht="42" customHeight="1">
      <c r="A34" s="35" t="inlineStr">
        <is>
          <t>4 — Managed</t>
        </is>
      </c>
      <c r="B34" s="36" t="inlineStr">
        <is>
          <t>Threat modeling is integrated into the detection development lifecycle. New detections are prioritized based on threat model outputs.</t>
        </is>
      </c>
      <c r="C34" s="36" t="inlineStr">
        <is>
          <t>Monthly exercises; &gt;70% of new detections tied to threat model outputs.</t>
        </is>
      </c>
    </row>
    <row r="35" ht="42" customHeight="1">
      <c r="A35" s="35" t="inlineStr">
        <is>
          <t>5 — Optimized</t>
        </is>
      </c>
      <c r="B35" s="36" t="inlineStr">
        <is>
          <t>Continuous, proactive threat modeling incorporating real-time threat intelligence, attack surface changes, and emerging TTPs.</t>
        </is>
      </c>
      <c r="C35" s="36" t="inlineStr">
        <is>
          <t>Continuous modeling; real-time integration with threat intel feeds.</t>
        </is>
      </c>
    </row>
    <row r="37" ht="32" customHeight="1">
      <c r="A37" s="8" t="inlineStr">
        <is>
          <t>Basic</t>
        </is>
      </c>
      <c r="B37" s="2" t="n"/>
      <c r="C37" s="2" t="n"/>
    </row>
    <row r="38" ht="28" customHeight="1">
      <c r="A38" s="28" t="inlineStr">
        <is>
          <t>Establishes baseline detection capabilities with systematic management, version control, and initial alignment with the threat landscape.</t>
        </is>
      </c>
    </row>
    <row r="39" ht="26" customHeight="1">
      <c r="A39" s="29" t="inlineStr">
        <is>
          <t>Baseline Rule Creation</t>
        </is>
      </c>
      <c r="B39" s="30" t="n"/>
      <c r="C39" s="30" t="n"/>
    </row>
    <row r="40" ht="22" customHeight="1">
      <c r="A40" s="7" t="inlineStr">
        <is>
          <t>Level</t>
        </is>
      </c>
      <c r="B40" s="7" t="inlineStr">
        <is>
          <t>Description</t>
        </is>
      </c>
      <c r="C40" s="7" t="inlineStr">
        <is>
          <t>Quantitative Measure</t>
        </is>
      </c>
    </row>
    <row r="41" ht="42" customHeight="1">
      <c r="A41" s="31" t="inlineStr">
        <is>
          <t>1 — Initial</t>
        </is>
      </c>
      <c r="B41" s="32" t="inlineStr">
        <is>
          <t>Few or no baseline detection rules exist. Coverage is minimal and limited to out-of-the-box vendor rules.</t>
        </is>
      </c>
      <c r="C41" s="32" t="inlineStr">
        <is>
          <t>&lt;10 custom baseline rules; minimal ATT&amp;CK technique coverage.</t>
        </is>
      </c>
    </row>
    <row r="42" ht="42" customHeight="1">
      <c r="A42" s="31" t="inlineStr">
        <is>
          <t>2 — Repeatable</t>
        </is>
      </c>
      <c r="B42" s="32" t="inlineStr">
        <is>
          <t>A small set of baseline rules covers the most critical threats. Rules are basic signature or IOC-based detections.</t>
        </is>
      </c>
      <c r="C42" s="32" t="inlineStr">
        <is>
          <t>10-30 baseline rules; &lt;30% ATT&amp;CK technique coverage for priority areas.</t>
        </is>
      </c>
    </row>
    <row r="43" ht="42" customHeight="1">
      <c r="A43" s="33" t="inlineStr">
        <is>
          <t>3 — Defined</t>
        </is>
      </c>
      <c r="B43" s="34" t="inlineStr">
        <is>
          <t>Baseline rules cover key threat categories with a mix of signature and behavioral detections. Coverage gaps are identified.</t>
        </is>
      </c>
      <c r="C43" s="34" t="inlineStr">
        <is>
          <t>30-60 baseline rules; 30-50% ATT&amp;CK technique coverage with documented gaps.</t>
        </is>
      </c>
    </row>
    <row r="44" ht="42" customHeight="1">
      <c r="A44" s="35" t="inlineStr">
        <is>
          <t>4 — Managed</t>
        </is>
      </c>
      <c r="B44" s="36" t="inlineStr">
        <is>
          <t>Comprehensive baseline with behavioral and TTP-focused detections. Rules are tuned per environment and regularly validated.</t>
        </is>
      </c>
      <c r="C44" s="36" t="inlineStr">
        <is>
          <t>60-100 baseline rules; 50-70% ATT&amp;CK technique coverage including behavioral detections; gaps tracked against threat model.</t>
        </is>
      </c>
    </row>
    <row r="45" ht="42" customHeight="1">
      <c r="A45" s="35" t="inlineStr">
        <is>
          <t>5 — Optimized</t>
        </is>
      </c>
      <c r="B45" s="36" t="inlineStr">
        <is>
          <t>Continuously refined baseline with full environment-specific tuning. Automated coverage analysis identifies and fills gaps proactively.</t>
        </is>
      </c>
      <c r="C45" s="36" t="inlineStr">
        <is>
          <t>100+ baseline rules; &gt;70% ATT&amp;CK technique coverage; continuous gap analysis and automated coverage tracking.</t>
        </is>
      </c>
    </row>
    <row r="47" ht="26" customHeight="1">
      <c r="A47" s="29" t="inlineStr">
        <is>
          <t>Ruleset Management and Maintenance</t>
        </is>
      </c>
      <c r="B47" s="30" t="n"/>
      <c r="C47" s="30" t="n"/>
    </row>
    <row r="48" ht="22" customHeight="1">
      <c r="A48" s="7" t="inlineStr">
        <is>
          <t>Level</t>
        </is>
      </c>
      <c r="B48" s="7" t="inlineStr">
        <is>
          <t>Description</t>
        </is>
      </c>
      <c r="C48" s="7" t="inlineStr">
        <is>
          <t>Quantitative Measure</t>
        </is>
      </c>
    </row>
    <row r="49" ht="42" customHeight="1">
      <c r="A49" s="31" t="inlineStr">
        <is>
          <t>1 — Initial</t>
        </is>
      </c>
      <c r="B49" s="32" t="inlineStr">
        <is>
          <t>No formal rule management. Rules live in the SIEM with no version control, change tracking, or documentation.</t>
        </is>
      </c>
      <c r="C49" s="32" t="inlineStr">
        <is>
          <t>&lt;20% of rules under version control.</t>
        </is>
      </c>
    </row>
    <row r="50" ht="42" customHeight="1">
      <c r="A50" s="31" t="inlineStr">
        <is>
          <t>2 — Repeatable</t>
        </is>
      </c>
      <c r="B50" s="32" t="inlineStr">
        <is>
          <t>Some rules are stored in version control. Basic documentation exists for some detections but is incomplete.</t>
        </is>
      </c>
      <c r="C50" s="32" t="inlineStr">
        <is>
          <t>20-50% of rules in version control; basic documentation.</t>
        </is>
      </c>
    </row>
    <row r="51" ht="42" customHeight="1">
      <c r="A51" s="33" t="inlineStr">
        <is>
          <t>3 — Defined</t>
        </is>
      </c>
      <c r="B51" s="34" t="inlineStr">
        <is>
          <t>Most rules are managed in version control with documentation standards. A detection-as-code approach is being adopted.</t>
        </is>
      </c>
      <c r="C51" s="34" t="inlineStr">
        <is>
          <t>50-80% of rules in version control with documentation.</t>
        </is>
      </c>
    </row>
    <row r="52" ht="42" customHeight="1">
      <c r="A52" s="35" t="inlineStr">
        <is>
          <t>4 — Managed</t>
        </is>
      </c>
      <c r="B52" s="36" t="inlineStr">
        <is>
          <t>Detection-as-code is standard practice. CI/CD pipelines handle rule deployment. All rules are documented and version-controlled.</t>
        </is>
      </c>
      <c r="C52" s="36" t="inlineStr">
        <is>
          <t>80-90% of rules in DaC pipeline; automated deployment.</t>
        </is>
      </c>
    </row>
    <row r="53" ht="42" customHeight="1">
      <c r="A53" s="35" t="inlineStr">
        <is>
          <t>5 — Optimized</t>
        </is>
      </c>
      <c r="B53" s="36" t="inlineStr">
        <is>
          <t>Fully automated rule lifecycle with CI/CD, automated testing, continuous validation, and weekly maintenance cycles.</t>
        </is>
      </c>
      <c r="C53" s="36" t="inlineStr">
        <is>
          <t>100% DaC; automated testing and deployment; weekly validation cycles.</t>
        </is>
      </c>
    </row>
    <row r="55" ht="26" customHeight="1">
      <c r="A55" s="29" t="inlineStr">
        <is>
          <t>Telemetry Quality</t>
        </is>
      </c>
      <c r="B55" s="30" t="n"/>
      <c r="C55" s="30" t="n"/>
    </row>
    <row r="56" ht="22" customHeight="1">
      <c r="A56" s="7" t="inlineStr">
        <is>
          <t>Level</t>
        </is>
      </c>
      <c r="B56" s="7" t="inlineStr">
        <is>
          <t>Description</t>
        </is>
      </c>
      <c r="C56" s="7" t="inlineStr">
        <is>
          <t>Quantitative Measure</t>
        </is>
      </c>
    </row>
    <row r="57" ht="42" customHeight="1">
      <c r="A57" s="31" t="inlineStr">
        <is>
          <t>1 — Initial</t>
        </is>
      </c>
      <c r="B57" s="32" t="inlineStr">
        <is>
          <t>No active management of telemetry quality. Data sources are whatever happens to be available without assessment of completeness.</t>
        </is>
      </c>
      <c r="C57" s="32" t="inlineStr">
        <is>
          <t>&lt;30% of rule types have adequate telemetry producing expected data.</t>
        </is>
      </c>
    </row>
    <row r="58" ht="42" customHeight="1">
      <c r="A58" s="31" t="inlineStr">
        <is>
          <t>2 — Repeatable</t>
        </is>
      </c>
      <c r="B58" s="32" t="inlineStr">
        <is>
          <t>Some awareness of telemetry gaps. Basic checks ensure critical data sources are ingesting, but no formal quality program.</t>
        </is>
      </c>
      <c r="C58" s="32" t="inlineStr">
        <is>
          <t>30-50% of rule types have adequate telemetry; basic health checks.</t>
        </is>
      </c>
    </row>
    <row r="59" ht="42" customHeight="1">
      <c r="A59" s="33" t="inlineStr">
        <is>
          <t>3 — Defined</t>
        </is>
      </c>
      <c r="B59" s="34" t="inlineStr">
        <is>
          <t>Telemetry quality is actively monitored. Data source coverage is mapped to detection needs. CTI enrichment is being integrated.</t>
        </is>
      </c>
      <c r="C59" s="34" t="inlineStr">
        <is>
          <t>50-70% telemetry coverage; CTI integration beginning.</t>
        </is>
      </c>
    </row>
    <row r="60" ht="42" customHeight="1">
      <c r="A60" s="35" t="inlineStr">
        <is>
          <t>4 — Managed</t>
        </is>
      </c>
      <c r="B60" s="36" t="inlineStr">
        <is>
          <t>Comprehensive telemetry management with automated health monitoring, CTI enrichment, and proactive gap identification.</t>
        </is>
      </c>
      <c r="C60" s="36" t="inlineStr">
        <is>
          <t>70-90% telemetry coverage; automated health monitoring; CTI integrated.</t>
        </is>
      </c>
    </row>
    <row r="61" ht="42" customHeight="1">
      <c r="A61" s="35" t="inlineStr">
        <is>
          <t>5 — Optimized</t>
        </is>
      </c>
      <c r="B61" s="36" t="inlineStr">
        <is>
          <t>Advanced telemetry workflows with real-time enrichment, automated responses to telemetry degradation, and full CTI integration.</t>
        </is>
      </c>
      <c r="C61" s="36" t="inlineStr">
        <is>
          <t>90-100% coverage; real-time enrichment; automated remediation of gaps.</t>
        </is>
      </c>
    </row>
    <row r="63" ht="26" customHeight="1">
      <c r="A63" s="29" t="inlineStr">
        <is>
          <t>Threat Landscape Review</t>
        </is>
      </c>
      <c r="B63" s="30" t="n"/>
      <c r="C63" s="30" t="n"/>
    </row>
    <row r="64" ht="22" customHeight="1">
      <c r="A64" s="7" t="inlineStr">
        <is>
          <t>Level</t>
        </is>
      </c>
      <c r="B64" s="7" t="inlineStr">
        <is>
          <t>Description</t>
        </is>
      </c>
      <c r="C64" s="7" t="inlineStr">
        <is>
          <t>Quantitative Measure</t>
        </is>
      </c>
    </row>
    <row r="65" ht="42" customHeight="1">
      <c r="A65" s="31" t="inlineStr">
        <is>
          <t>1 — Initial</t>
        </is>
      </c>
      <c r="B65" s="32" t="inlineStr">
        <is>
          <t>No regular review of the threat landscape. Detection priorities are not informed by current threats.</t>
        </is>
      </c>
      <c r="C65" s="32" t="inlineStr">
        <is>
          <t>No scheduled reviews; &lt;30% of rules aligned to current threats.</t>
        </is>
      </c>
    </row>
    <row r="66" ht="42" customHeight="1">
      <c r="A66" s="31" t="inlineStr">
        <is>
          <t>2 — Repeatable</t>
        </is>
      </c>
      <c r="B66" s="32" t="inlineStr">
        <is>
          <t>Bi-annual or annual reviews of the threat landscape. Some detection priorities are updated based on major threat changes.</t>
        </is>
      </c>
      <c r="C66" s="32" t="inlineStr">
        <is>
          <t>1-2 reviews per year; some rule updates based on findings.</t>
        </is>
      </c>
    </row>
    <row r="67" ht="42" customHeight="1">
      <c r="A67" s="33" t="inlineStr">
        <is>
          <t>3 — Defined</t>
        </is>
      </c>
      <c r="B67" s="34" t="inlineStr">
        <is>
          <t>Quarterly threat landscape reviews with documented findings. Detection roadmap is updated based on review outcomes.</t>
        </is>
      </c>
      <c r="C67" s="34" t="inlineStr">
        <is>
          <t>Quarterly reviews; 50-70% of rules reviewed against current threats.</t>
        </is>
      </c>
    </row>
    <row r="68" ht="42" customHeight="1">
      <c r="A68" s="35" t="inlineStr">
        <is>
          <t>4 — Managed</t>
        </is>
      </c>
      <c r="B68" s="36" t="inlineStr">
        <is>
          <t>Monthly threat landscape reviews integrated with threat intelligence. Detection priorities are continuously aligned with emerging threats.</t>
        </is>
      </c>
      <c r="C68" s="36" t="inlineStr">
        <is>
          <t>Monthly reviews; 70-90% rules aligned; automated intel integration.</t>
        </is>
      </c>
    </row>
    <row r="69" ht="42" customHeight="1">
      <c r="A69" s="35" t="inlineStr">
        <is>
          <t>5 — Optimized</t>
        </is>
      </c>
      <c r="B69" s="36" t="inlineStr">
        <is>
          <t>Real-time threat landscape monitoring with automated intelligence feeds driving detection priority updates.</t>
        </is>
      </c>
      <c r="C69" s="36" t="inlineStr">
        <is>
          <t>Continuous monitoring; 90-100% alignment; automated priority updates.</t>
        </is>
      </c>
    </row>
    <row r="71" ht="26" customHeight="1">
      <c r="A71" s="29" t="inlineStr">
        <is>
          <t>Product Owner Engagement</t>
        </is>
      </c>
      <c r="B71" s="30" t="n"/>
      <c r="C71" s="30" t="n"/>
    </row>
    <row r="72" ht="22" customHeight="1">
      <c r="A72" s="7" t="inlineStr">
        <is>
          <t>Level</t>
        </is>
      </c>
      <c r="B72" s="7" t="inlineStr">
        <is>
          <t>Description</t>
        </is>
      </c>
      <c r="C72" s="7" t="inlineStr">
        <is>
          <t>Quantitative Measure</t>
        </is>
      </c>
    </row>
    <row r="73" ht="42" customHeight="1">
      <c r="A73" s="31" t="inlineStr">
        <is>
          <t>1 — Initial</t>
        </is>
      </c>
      <c r="B73" s="32" t="inlineStr">
        <is>
          <t>No engagement between detection engineering and product/platform owners. Detection needs are not communicated to tool vendors or platform teams.</t>
        </is>
      </c>
      <c r="C73" s="32" t="inlineStr">
        <is>
          <t>Zero structured engagements with product owners.</t>
        </is>
      </c>
    </row>
    <row r="74" ht="42" customHeight="1">
      <c r="A74" s="31" t="inlineStr">
        <is>
          <t>2 — Repeatable</t>
        </is>
      </c>
      <c r="B74" s="32" t="inlineStr">
        <is>
          <t>Occasional ad hoc engagement with product owners, typically reactive to issues or gaps discovered during detection development.</t>
        </is>
      </c>
      <c r="C74" s="32" t="inlineStr">
        <is>
          <t>1-2 engagements per quarter; reactive only.</t>
        </is>
      </c>
    </row>
    <row r="75" ht="42" customHeight="1">
      <c r="A75" s="33" t="inlineStr">
        <is>
          <t>3 — Defined</t>
        </is>
      </c>
      <c r="B75" s="34" t="inlineStr">
        <is>
          <t>Regular engagement with product owners to communicate detection needs, request features, and provide feedback on platform capabilities.</t>
        </is>
      </c>
      <c r="C75" s="34" t="inlineStr">
        <is>
          <t>Quarterly structured engagements; feature requests tracked.</t>
        </is>
      </c>
    </row>
    <row r="76" ht="42" customHeight="1">
      <c r="A76" s="35" t="inlineStr">
        <is>
          <t>4 — Managed</t>
        </is>
      </c>
      <c r="B76" s="36" t="inlineStr">
        <is>
          <t>Proactive partnership with product owners. Detection requirements are integrated into product roadmaps. Regular feedback loops established.</t>
        </is>
      </c>
      <c r="C76" s="36" t="inlineStr">
        <is>
          <t>Monthly engagements; &gt;50% of feature requests on product roadmap.</t>
        </is>
      </c>
    </row>
    <row r="77" ht="42" customHeight="1">
      <c r="A77" s="35" t="inlineStr">
        <is>
          <t>5 — Optimized</t>
        </is>
      </c>
      <c r="B77" s="36" t="inlineStr">
        <is>
          <t>Continuous, proactive engagement. Detection needs directly influence product development. Joint planning and shared success metrics.</t>
        </is>
      </c>
      <c r="C77" s="36" t="inlineStr">
        <is>
          <t>&gt;90% of detection requirements reflected in product roadmap changes.</t>
        </is>
      </c>
    </row>
    <row r="79" ht="26" customHeight="1">
      <c r="A79" s="29" t="inlineStr">
        <is>
          <t>Release Testing and Validation</t>
        </is>
      </c>
      <c r="B79" s="30" t="n"/>
      <c r="C79" s="30" t="n"/>
    </row>
    <row r="80" ht="22" customHeight="1">
      <c r="A80" s="7" t="inlineStr">
        <is>
          <t>Level</t>
        </is>
      </c>
      <c r="B80" s="7" t="inlineStr">
        <is>
          <t>Description</t>
        </is>
      </c>
      <c r="C80" s="7" t="inlineStr">
        <is>
          <t>Quantitative Measure</t>
        </is>
      </c>
    </row>
    <row r="81" ht="42" customHeight="1">
      <c r="A81" s="31" t="inlineStr">
        <is>
          <t>1 — Initial</t>
        </is>
      </c>
      <c r="B81" s="32" t="inlineStr">
        <is>
          <t>No formal testing before rule deployment. Rules are pushed to production without validation.</t>
        </is>
      </c>
      <c r="C81" s="32" t="inlineStr">
        <is>
          <t>&lt;20% of rules tested before deployment.</t>
        </is>
      </c>
    </row>
    <row r="82" ht="42" customHeight="1">
      <c r="A82" s="31" t="inlineStr">
        <is>
          <t>2 — Repeatable</t>
        </is>
      </c>
      <c r="B82" s="32" t="inlineStr">
        <is>
          <t>Basic manual testing on some rules before deployment. No standardized testing process or test environments.</t>
        </is>
      </c>
      <c r="C82" s="32" t="inlineStr">
        <is>
          <t>20-40% of rules tested; manual testing only.</t>
        </is>
      </c>
    </row>
    <row r="83" ht="42" customHeight="1">
      <c r="A83" s="33" t="inlineStr">
        <is>
          <t>3 — Defined</t>
        </is>
      </c>
      <c r="B83" s="34" t="inlineStr">
        <is>
          <t>Standardized testing process with defined test cases. Most rules are tested before deployment in a staging environment.</t>
        </is>
      </c>
      <c r="C83" s="34" t="inlineStr">
        <is>
          <t>50-70% of rules tested; staging environment available.</t>
        </is>
      </c>
    </row>
    <row r="84" ht="42" customHeight="1">
      <c r="A84" s="35" t="inlineStr">
        <is>
          <t>4 — Managed</t>
        </is>
      </c>
      <c r="B84" s="36" t="inlineStr">
        <is>
          <t>Comprehensive testing including unit tests, integration tests, and emulation-based validation. Rapid deployment capability for emerging threats.</t>
        </is>
      </c>
      <c r="C84" s="36" t="inlineStr">
        <is>
          <t>70-90% automated testing; 24-hour deployment capability for critical threats.</t>
        </is>
      </c>
    </row>
    <row r="85" ht="42" customHeight="1">
      <c r="A85" s="35" t="inlineStr">
        <is>
          <t>5 — Optimized</t>
        </is>
      </c>
      <c r="B85" s="36" t="inlineStr">
        <is>
          <t>Continuous, automated testing with real-time feedback. Full CI/CD pipeline with automated validation before every deployment.</t>
        </is>
      </c>
      <c r="C85" s="36" t="inlineStr">
        <is>
          <t>90-100% automated testing; continuous validation in CI/CD pipeline.</t>
        </is>
      </c>
    </row>
    <row r="87" ht="32" customHeight="1">
      <c r="A87" s="8" t="inlineStr">
        <is>
          <t>Intermediate</t>
        </is>
      </c>
      <c r="B87" s="2" t="n"/>
      <c r="C87" s="2" t="n"/>
    </row>
    <row r="88" ht="28" customHeight="1">
      <c r="A88" s="28" t="inlineStr">
        <is>
          <t>Focuses on improving detection quality through tuning, gap analysis, and systematic internal validation.</t>
        </is>
      </c>
    </row>
    <row r="89" ht="26" customHeight="1">
      <c r="A89" s="29" t="inlineStr">
        <is>
          <t>False Positive Tuning and Reduction</t>
        </is>
      </c>
      <c r="B89" s="30" t="n"/>
      <c r="C89" s="30" t="n"/>
    </row>
    <row r="90" ht="22" customHeight="1">
      <c r="A90" s="7" t="inlineStr">
        <is>
          <t>Level</t>
        </is>
      </c>
      <c r="B90" s="7" t="inlineStr">
        <is>
          <t>Description</t>
        </is>
      </c>
      <c r="C90" s="7" t="inlineStr">
        <is>
          <t>Quantitative Measure</t>
        </is>
      </c>
    </row>
    <row r="91" ht="42" customHeight="1">
      <c r="A91" s="31" t="inlineStr">
        <is>
          <t>1 — Initial</t>
        </is>
      </c>
      <c r="B91" s="32" t="inlineStr">
        <is>
          <t>Minimal or no tuning of detection rules. High false positive rates accepted as normal, contributing to alert fatigue.</t>
        </is>
      </c>
      <c r="C91" s="32" t="inlineStr">
        <is>
          <t>No measurable FP reduction efforts.</t>
        </is>
      </c>
    </row>
    <row r="92" ht="42" customHeight="1">
      <c r="A92" s="31" t="inlineStr">
        <is>
          <t>2 — Repeatable</t>
        </is>
      </c>
      <c r="B92" s="32" t="inlineStr">
        <is>
          <t>Some tuning performed reactively when analysts complain. No systematic tracking of false positive rates.</t>
        </is>
      </c>
      <c r="C92" s="32" t="inlineStr">
        <is>
          <t>10-25% FP reduction from initial baseline; sporadic tuning.</t>
        </is>
      </c>
    </row>
    <row r="93" ht="42" customHeight="1">
      <c r="A93" s="33" t="inlineStr">
        <is>
          <t>3 — Defined</t>
        </is>
      </c>
      <c r="B93" s="34" t="inlineStr">
        <is>
          <t>Regular tuning cycles with tracked FP rates per rule. Tuning is documented and follows a defined process.</t>
        </is>
      </c>
      <c r="C93" s="34" t="inlineStr">
        <is>
          <t>25-50% FP reduction; quarterly tuning cycles; FP rates tracked per rule.</t>
        </is>
      </c>
    </row>
    <row r="94" ht="42" customHeight="1">
      <c r="A94" s="35" t="inlineStr">
        <is>
          <t>4 — Managed</t>
        </is>
      </c>
      <c r="B94" s="36" t="inlineStr">
        <is>
          <t>Comprehensive FP management with automated tuning suggestions, risk-based alert scoring, and continuous monitoring.</t>
        </is>
      </c>
      <c r="C94" s="36" t="inlineStr">
        <is>
          <t>&gt;50% FP reduction; automated tuning recommendations; risk-based scoring.</t>
        </is>
      </c>
    </row>
    <row r="95" ht="42" customHeight="1">
      <c r="A95" s="35" t="inlineStr">
        <is>
          <t>5 — Optimized</t>
        </is>
      </c>
      <c r="B95" s="36" t="inlineStr">
        <is>
          <t>Automated and dynamic tuning with machine learning. Near-zero unnecessary alert noise. Continuous optimization.</t>
        </is>
      </c>
      <c r="C95" s="36" t="inlineStr">
        <is>
          <t>&gt;75% FP reduction from baseline; ML-assisted tuning; continuous optimization.</t>
        </is>
      </c>
    </row>
    <row r="97" ht="26" customHeight="1">
      <c r="A97" s="29" t="inlineStr">
        <is>
          <t>Gap Analysis and Documentation</t>
        </is>
      </c>
      <c r="B97" s="30" t="n"/>
      <c r="C97" s="30" t="n"/>
    </row>
    <row r="98" ht="22" customHeight="1">
      <c r="A98" s="7" t="inlineStr">
        <is>
          <t>Level</t>
        </is>
      </c>
      <c r="B98" s="7" t="inlineStr">
        <is>
          <t>Description</t>
        </is>
      </c>
      <c r="C98" s="7" t="inlineStr">
        <is>
          <t>Quantitative Measure</t>
        </is>
      </c>
    </row>
    <row r="99" ht="42" customHeight="1">
      <c r="A99" s="31" t="inlineStr">
        <is>
          <t>1 — Initial</t>
        </is>
      </c>
      <c r="B99" s="32" t="inlineStr">
        <is>
          <t>No gap analysis performed. Detection coverage gaps are unknown and undocumented.</t>
        </is>
      </c>
      <c r="C99" s="32" t="inlineStr">
        <is>
          <t>Zero gaps formally documented.</t>
        </is>
      </c>
    </row>
    <row r="100" ht="42" customHeight="1">
      <c r="A100" s="31" t="inlineStr">
        <is>
          <t>2 — Repeatable</t>
        </is>
      </c>
      <c r="B100" s="32" t="inlineStr">
        <is>
          <t>Some gaps identified informally, typically after incidents expose missing detections. Documentation is inconsistent.</t>
        </is>
      </c>
      <c r="C100" s="32" t="inlineStr">
        <is>
          <t>1-3 gaps documented; reactive identification only.</t>
        </is>
      </c>
    </row>
    <row r="101" ht="42" customHeight="1">
      <c r="A101" s="33" t="inlineStr">
        <is>
          <t>3 — Defined</t>
        </is>
      </c>
      <c r="B101" s="34" t="inlineStr">
        <is>
          <t>Regular gap analysis performed against ATT&amp;CK or similar frameworks. Gaps are documented, prioritized, and communicated to stakeholders.</t>
        </is>
      </c>
      <c r="C101" s="34" t="inlineStr">
        <is>
          <t>5+ gaps documented quarterly; prioritized against threat model.</t>
        </is>
      </c>
    </row>
    <row r="102" ht="42" customHeight="1">
      <c r="A102" s="35" t="inlineStr">
        <is>
          <t>4 — Managed</t>
        </is>
      </c>
      <c r="B102" s="36" t="inlineStr">
        <is>
          <t>Comprehensive gap analysis integrated with threat modeling and risk assessment. Gaps drive the detection roadmap.</t>
        </is>
      </c>
      <c r="C102" s="36" t="inlineStr">
        <is>
          <t>Continuous gap tracking; gaps integrated into roadmap; stakeholder reporting.</t>
        </is>
      </c>
    </row>
    <row r="103" ht="42" customHeight="1">
      <c r="A103" s="35" t="inlineStr">
        <is>
          <t>5 — Optimized</t>
        </is>
      </c>
      <c r="B103" s="36" t="inlineStr">
        <is>
          <t>Automated gap analysis using advanced analytics. Real-time coverage mapping with automated prioritization.</t>
        </is>
      </c>
      <c r="C103" s="36" t="inlineStr">
        <is>
          <t>Automated continuous gap analysis; real-time coverage dashboards.</t>
        </is>
      </c>
    </row>
    <row r="105" ht="26" customHeight="1">
      <c r="A105" s="29" t="inlineStr">
        <is>
          <t>Internal Testing and Validation</t>
        </is>
      </c>
      <c r="B105" s="30" t="n"/>
      <c r="C105" s="30" t="n"/>
    </row>
    <row r="106" ht="22" customHeight="1">
      <c r="A106" s="7" t="inlineStr">
        <is>
          <t>Level</t>
        </is>
      </c>
      <c r="B106" s="7" t="inlineStr">
        <is>
          <t>Description</t>
        </is>
      </c>
      <c r="C106" s="7" t="inlineStr">
        <is>
          <t>Quantitative Measure</t>
        </is>
      </c>
    </row>
    <row r="107" ht="42" customHeight="1">
      <c r="A107" s="31" t="inlineStr">
        <is>
          <t>1 — Initial</t>
        </is>
      </c>
      <c r="B107" s="32" t="inlineStr">
        <is>
          <t>No internal testing of detection effectiveness. Rules are assumed to work once deployed.</t>
        </is>
      </c>
      <c r="C107" s="32" t="inlineStr">
        <is>
          <t>Zero internal testing activities.</t>
        </is>
      </c>
    </row>
    <row r="108" ht="42" customHeight="1">
      <c r="A108" s="31" t="inlineStr">
        <is>
          <t>2 — Repeatable</t>
        </is>
      </c>
      <c r="B108" s="32" t="inlineStr">
        <is>
          <t>Occasional manual testing of high-priority rules. Basic atomic tests run sporadically.</t>
        </is>
      </c>
      <c r="C108" s="32" t="inlineStr">
        <is>
          <t>&lt;40% emulation coverage; sporadic testing.</t>
        </is>
      </c>
    </row>
    <row r="109" ht="42" customHeight="1">
      <c r="A109" s="33" t="inlineStr">
        <is>
          <t>3 — Defined</t>
        </is>
      </c>
      <c r="B109" s="34" t="inlineStr">
        <is>
          <t>Regular testing program with attack emulation (e.g., Atomic Red Team, Caldera) covering major detection categories. Results documented and tracked.</t>
        </is>
      </c>
      <c r="C109" s="34" t="inlineStr">
        <is>
          <t>40-70% emulation coverage; at least quarterly testing cycles.</t>
        </is>
      </c>
    </row>
    <row r="110" ht="42" customHeight="1">
      <c r="A110" s="35" t="inlineStr">
        <is>
          <t>4 — Managed</t>
        </is>
      </c>
      <c r="B110" s="36" t="inlineStr">
        <is>
          <t>Comprehensive internal testing with automated attack emulation, purple team exercises, and continuous validation.</t>
        </is>
      </c>
      <c r="C110" s="36" t="inlineStr">
        <is>
          <t>70-90% automated emulation coverage; regular purple team exercises.</t>
        </is>
      </c>
    </row>
    <row r="111" ht="42" customHeight="1">
      <c r="A111" s="35" t="inlineStr">
        <is>
          <t>5 — Optimized</t>
        </is>
      </c>
      <c r="B111" s="36" t="inlineStr">
        <is>
          <t>Continuous automated testing with real-time validation. Full emulation coverage with automated regression testing on every rule change.</t>
        </is>
      </c>
      <c r="C111" s="36" t="inlineStr">
        <is>
          <t>&gt;90% automated coverage; continuous validation; automated regression on every change.</t>
        </is>
      </c>
    </row>
    <row r="113" ht="32" customHeight="1">
      <c r="A113" s="8" t="inlineStr">
        <is>
          <t>Advanced</t>
        </is>
      </c>
      <c r="B113" s="2" t="n"/>
      <c r="C113" s="2" t="n"/>
    </row>
    <row r="114" ht="28" customHeight="1">
      <c r="A114" s="28" t="inlineStr">
        <is>
          <t>Addresses false negatives, external validation, and advanced threat coverage to ensure detections catch real attacks.</t>
        </is>
      </c>
    </row>
    <row r="115" ht="26" customHeight="1">
      <c r="A115" s="29" t="inlineStr">
        <is>
          <t>False Negative Triage</t>
        </is>
      </c>
      <c r="B115" s="30" t="n"/>
      <c r="C115" s="30" t="n"/>
    </row>
    <row r="116" ht="22" customHeight="1">
      <c r="A116" s="7" t="inlineStr">
        <is>
          <t>Level</t>
        </is>
      </c>
      <c r="B116" s="7" t="inlineStr">
        <is>
          <t>Description</t>
        </is>
      </c>
      <c r="C116" s="7" t="inlineStr">
        <is>
          <t>Quantitative Measure</t>
        </is>
      </c>
    </row>
    <row r="117" ht="42" customHeight="1">
      <c r="A117" s="31" t="inlineStr">
        <is>
          <t>1 — Initial</t>
        </is>
      </c>
      <c r="B117" s="32" t="inlineStr">
        <is>
          <t>No process for identifying or triaging false negatives. Missed detections are only discovered during incident response.</t>
        </is>
      </c>
      <c r="C117" s="32" t="inlineStr">
        <is>
          <t>Zero FN reduction activities.</t>
        </is>
      </c>
    </row>
    <row r="118" ht="42" customHeight="1">
      <c r="A118" s="31" t="inlineStr">
        <is>
          <t>2 — Repeatable</t>
        </is>
      </c>
      <c r="B118" s="32" t="inlineStr">
        <is>
          <t>Some false negatives identified through post-incident reviews. Basic tracking of missed detections.</t>
        </is>
      </c>
      <c r="C118" s="32" t="inlineStr">
        <is>
          <t>50% of tested samples trigger expected alerts.</t>
        </is>
      </c>
    </row>
    <row r="119" ht="42" customHeight="1">
      <c r="A119" s="33" t="inlineStr">
        <is>
          <t>3 — Defined</t>
        </is>
      </c>
      <c r="B119" s="34" t="inlineStr">
        <is>
          <t>Systematic false negative identification through regular testing and validation exercises. Root causes are analyzed and documented.</t>
        </is>
      </c>
      <c r="C119" s="34" t="inlineStr">
        <is>
          <t>70-90% of tested samples trigger alerts; root cause analysis documented; 30-50% FN reduction from baseline.</t>
        </is>
      </c>
    </row>
    <row r="120" ht="42" customHeight="1">
      <c r="A120" s="35" t="inlineStr">
        <is>
          <t>4 — Managed</t>
        </is>
      </c>
      <c r="B120" s="36" t="inlineStr">
        <is>
          <t>Comprehensive FN management with automated detection validation, coverage testing, and rapid remediation processes.</t>
        </is>
      </c>
      <c r="C120" s="36" t="inlineStr">
        <is>
          <t>90-100% of tested samples trigger alerts; automated validation; &gt;50% FN reduction.</t>
        </is>
      </c>
    </row>
    <row r="121" ht="42" customHeight="1">
      <c r="A121" s="35" t="inlineStr">
        <is>
          <t>5 — Optimized</t>
        </is>
      </c>
      <c r="B121" s="36" t="inlineStr">
        <is>
          <t>Continuous, automated false negative detection using advanced analytics and real-time validation against live threats.</t>
        </is>
      </c>
      <c r="C121" s="36" t="inlineStr">
        <is>
          <t>Continuous validation; near-zero FN rate on tested scenarios; &gt;75% FN reduction.</t>
        </is>
      </c>
    </row>
    <row r="123" ht="26" customHeight="1">
      <c r="A123" s="29" t="inlineStr">
        <is>
          <t>External Validation</t>
        </is>
      </c>
      <c r="B123" s="30" t="n"/>
      <c r="C123" s="30" t="n"/>
    </row>
    <row r="124" ht="22" customHeight="1">
      <c r="A124" s="7" t="inlineStr">
        <is>
          <t>Level</t>
        </is>
      </c>
      <c r="B124" s="7" t="inlineStr">
        <is>
          <t>Description</t>
        </is>
      </c>
      <c r="C124" s="7" t="inlineStr">
        <is>
          <t>Quantitative Measure</t>
        </is>
      </c>
    </row>
    <row r="125" ht="42" customHeight="1">
      <c r="A125" s="31" t="inlineStr">
        <is>
          <t>1 — Initial</t>
        </is>
      </c>
      <c r="B125" s="32" t="inlineStr">
        <is>
          <t>No external validation of detection capabilities. No red team, penetration testing, or third-party assessment of detections.</t>
        </is>
      </c>
      <c r="C125" s="32" t="inlineStr">
        <is>
          <t>Zero external validation exercises.</t>
        </is>
      </c>
    </row>
    <row r="126" ht="42" customHeight="1">
      <c r="A126" s="31" t="inlineStr">
        <is>
          <t>2 — Repeatable</t>
        </is>
      </c>
      <c r="B126" s="32" t="inlineStr">
        <is>
          <t>Occasional external validation, typically annual penetration tests with some detection assessment included.</t>
        </is>
      </c>
      <c r="C126" s="32" t="inlineStr">
        <is>
          <t>1 external validation exercise per year.</t>
        </is>
      </c>
    </row>
    <row r="127" ht="42" customHeight="1">
      <c r="A127" s="33" t="inlineStr">
        <is>
          <t>3 — Defined</t>
        </is>
      </c>
      <c r="B127" s="34" t="inlineStr">
        <is>
          <t>Regular external validation through red team engagements or third-party assessments focused on detection effectiveness.</t>
        </is>
      </c>
      <c r="C127" s="34" t="inlineStr">
        <is>
          <t>&gt;1 external exercise per year; findings drive detection improvements.</t>
        </is>
      </c>
    </row>
    <row r="128" ht="42" customHeight="1">
      <c r="A128" s="35" t="inlineStr">
        <is>
          <t>4 — Managed</t>
        </is>
      </c>
      <c r="B128" s="36" t="inlineStr">
        <is>
          <t>Multiple external validation exercises annually including red team, purple team, and breach simulation. Systematic feedback integration.</t>
        </is>
      </c>
      <c r="C128" s="36" t="inlineStr">
        <is>
          <t>Multiple exercises per year; &gt;70% of findings remediated within 30 days.</t>
        </is>
      </c>
    </row>
    <row r="129" ht="42" customHeight="1">
      <c r="A129" s="35" t="inlineStr">
        <is>
          <t>5 — Optimized</t>
        </is>
      </c>
      <c r="B129" s="36" t="inlineStr">
        <is>
          <t>Continuous external validation with automated breach and attack simulation (BAS) tools and regular adversary emulation exercises.</t>
        </is>
      </c>
      <c r="C129" s="36" t="inlineStr">
        <is>
          <t>Continuous BAS; regular adversary emulation; real-time feedback loop.</t>
        </is>
      </c>
    </row>
    <row r="131" ht="26" customHeight="1">
      <c r="A131" s="29" t="inlineStr">
        <is>
          <t>Advanced TTP Coverage</t>
        </is>
      </c>
      <c r="B131" s="30" t="n"/>
      <c r="C131" s="30" t="n"/>
    </row>
    <row r="132" ht="22" customHeight="1">
      <c r="A132" s="7" t="inlineStr">
        <is>
          <t>Level</t>
        </is>
      </c>
      <c r="B132" s="7" t="inlineStr">
        <is>
          <t>Description</t>
        </is>
      </c>
      <c r="C132" s="7" t="inlineStr">
        <is>
          <t>Quantitative Measure</t>
        </is>
      </c>
    </row>
    <row r="133" ht="42" customHeight="1">
      <c r="A133" s="31" t="inlineStr">
        <is>
          <t>1 — Initial</t>
        </is>
      </c>
      <c r="B133" s="32" t="inlineStr">
        <is>
          <t>No coverage of advanced TTPs. Detections focus only on known signatures and basic indicators.</t>
        </is>
      </c>
      <c r="C133" s="32" t="inlineStr">
        <is>
          <t>Zero advanced TTP detections.</t>
        </is>
      </c>
    </row>
    <row r="134" ht="42" customHeight="1">
      <c r="A134" s="31" t="inlineStr">
        <is>
          <t>2 — Repeatable</t>
        </is>
      </c>
      <c r="B134" s="32" t="inlineStr">
        <is>
          <t>Limited coverage of some advanced TTPs, typically 1-3 techniques beyond basic signature detection.</t>
        </is>
      </c>
      <c r="C134" s="32" t="inlineStr">
        <is>
          <t>1-3 advanced TTP detections (e.g., living-off-the-land, fileless).</t>
        </is>
      </c>
    </row>
    <row r="135" ht="42" customHeight="1">
      <c r="A135" s="33" t="inlineStr">
        <is>
          <t>3 — Defined</t>
        </is>
      </c>
      <c r="B135" s="34" t="inlineStr">
        <is>
          <t>Growing coverage of advanced TTPs informed by threat intelligence. Behavioral detections supplement signature-based rules.</t>
        </is>
      </c>
      <c r="C135" s="34" t="inlineStr">
        <is>
          <t>3-5 advanced TTP detections; behavioral detection capabilities.</t>
        </is>
      </c>
    </row>
    <row r="136" ht="42" customHeight="1">
      <c r="A136" s="35" t="inlineStr">
        <is>
          <t>4 — Managed</t>
        </is>
      </c>
      <c r="B136" s="36" t="inlineStr">
        <is>
          <t>Comprehensive advanced TTP coverage including sophisticated evasion techniques, novel attack chains, and emerging threats.</t>
        </is>
      </c>
      <c r="C136" s="36" t="inlineStr">
        <is>
          <t>5+ advanced TTP detections; coverage of evasion and novel techniques.</t>
        </is>
      </c>
    </row>
    <row r="137" ht="42" customHeight="1">
      <c r="A137" s="35" t="inlineStr">
        <is>
          <t>5 — Optimized</t>
        </is>
      </c>
      <c r="B137" s="36" t="inlineStr">
        <is>
          <t>Continuous, proactive advanced TTP coverage using AI/ML for anomaly detection and automated response to emerging TTPs.</t>
        </is>
      </c>
      <c r="C137" s="36" t="inlineStr">
        <is>
          <t>Real-time advanced TTP detection; AI/ML-assisted; automated emerging threat coverage.</t>
        </is>
      </c>
    </row>
    <row r="139" ht="32" customHeight="1">
      <c r="A139" s="8" t="inlineStr">
        <is>
          <t>Expert</t>
        </is>
      </c>
      <c r="B139" s="2" t="n"/>
      <c r="C139" s="2" t="n"/>
    </row>
    <row r="140" ht="28" customHeight="1">
      <c r="A140" s="28" t="inlineStr">
        <is>
          <t>Features proactive threat hunting, advanced automation, AI/LLM integration, and continuous improvement across the detection lifecycle.</t>
        </is>
      </c>
    </row>
    <row r="141" ht="26" customHeight="1">
      <c r="A141" s="29" t="inlineStr">
        <is>
          <t>Threat Hunting in Telemetry</t>
        </is>
      </c>
      <c r="B141" s="30" t="n"/>
      <c r="C141" s="30" t="n"/>
    </row>
    <row r="142" ht="22" customHeight="1">
      <c r="A142" s="7" t="inlineStr">
        <is>
          <t>Level</t>
        </is>
      </c>
      <c r="B142" s="7" t="inlineStr">
        <is>
          <t>Description</t>
        </is>
      </c>
      <c r="C142" s="7" t="inlineStr">
        <is>
          <t>Quantitative Measure</t>
        </is>
      </c>
    </row>
    <row r="143" ht="42" customHeight="1">
      <c r="A143" s="31" t="inlineStr">
        <is>
          <t>1 — Initial</t>
        </is>
      </c>
      <c r="B143" s="32" t="inlineStr">
        <is>
          <t>No proactive threat hunting activities. All detection is passive through deployed rules.</t>
        </is>
      </c>
      <c r="C143" s="32" t="inlineStr">
        <is>
          <t>Zero hunting activities.</t>
        </is>
      </c>
    </row>
    <row r="144" ht="42" customHeight="1">
      <c r="A144" s="31" t="inlineStr">
        <is>
          <t>2 — Repeatable</t>
        </is>
      </c>
      <c r="B144" s="32" t="inlineStr">
        <is>
          <t>Occasional ad hoc hunting triggered by intelligence or incidents. Findings are not systematically converted to detections.</t>
        </is>
      </c>
      <c r="C144" s="32" t="inlineStr">
        <is>
          <t>Bi-weekly hunting activities; &lt;30% of findings converted to rules.</t>
        </is>
      </c>
    </row>
    <row r="145" ht="42" customHeight="1">
      <c r="A145" s="33" t="inlineStr">
        <is>
          <t>3 — Defined</t>
        </is>
      </c>
      <c r="B145" s="34" t="inlineStr">
        <is>
          <t>Regular structured hunting program with hypotheses driven by intelligence. Findings are documented and fed into detection development.</t>
        </is>
      </c>
      <c r="C145" s="34" t="inlineStr">
        <is>
          <t>Weekly hunting; 50-70% of findings integrated into detection rules.</t>
        </is>
      </c>
    </row>
    <row r="146" ht="42" customHeight="1">
      <c r="A146" s="35" t="inlineStr">
        <is>
          <t>4 — Managed</t>
        </is>
      </c>
      <c r="B146" s="36" t="inlineStr">
        <is>
          <t>Comprehensive hunting program with daily activities, advanced analytics, and systematic integration of findings into detections.</t>
        </is>
      </c>
      <c r="C146" s="36" t="inlineStr">
        <is>
          <t>Daily hunting; &gt;90% of findings integrated; advanced analytics used.</t>
        </is>
      </c>
    </row>
    <row r="147" ht="42" customHeight="1">
      <c r="A147" s="35" t="inlineStr">
        <is>
          <t>5 — Optimized</t>
        </is>
      </c>
      <c r="B147" s="36" t="inlineStr">
        <is>
          <t>Automated real-time hunting augmented by AI/ML. Hunting outputs automatically generate detection rule candidates.</t>
        </is>
      </c>
      <c r="C147" s="36" t="inlineStr">
        <is>
          <t>Real-time automated hunting; AI-assisted hypothesis generation.</t>
        </is>
      </c>
    </row>
    <row r="149" ht="26" customHeight="1">
      <c r="A149" s="29" t="inlineStr">
        <is>
          <t>Automation and Continuous Improvement</t>
        </is>
      </c>
      <c r="B149" s="30" t="n"/>
      <c r="C149" s="30" t="n"/>
    </row>
    <row r="150" ht="22" customHeight="1">
      <c r="A150" s="7" t="inlineStr">
        <is>
          <t>Level</t>
        </is>
      </c>
      <c r="B150" s="7" t="inlineStr">
        <is>
          <t>Description</t>
        </is>
      </c>
      <c r="C150" s="7" t="inlineStr">
        <is>
          <t>Quantitative Measure</t>
        </is>
      </c>
    </row>
    <row r="151" ht="42" customHeight="1">
      <c r="A151" s="31" t="inlineStr">
        <is>
          <t>1 — Initial</t>
        </is>
      </c>
      <c r="B151" s="32" t="inlineStr">
        <is>
          <t>No automation of detection engineering tasks. All processes are manual and time-consuming.</t>
        </is>
      </c>
      <c r="C151" s="32" t="inlineStr">
        <is>
          <t>Zero automation of detection engineering tasks.</t>
        </is>
      </c>
    </row>
    <row r="152" ht="42" customHeight="1">
      <c r="A152" s="31" t="inlineStr">
        <is>
          <t>2 — Repeatable</t>
        </is>
      </c>
      <c r="B152" s="32" t="inlineStr">
        <is>
          <t>Basic automation of some repetitive tasks (e.g., rule deployment scripts). Mostly manual processes remain.</t>
        </is>
      </c>
      <c r="C152" s="32" t="inlineStr">
        <is>
          <t>&lt;30% of routine tasks automated.</t>
        </is>
      </c>
    </row>
    <row r="153" ht="42" customHeight="1">
      <c r="A153" s="33" t="inlineStr">
        <is>
          <t>3 — Defined</t>
        </is>
      </c>
      <c r="B153" s="34" t="inlineStr">
        <is>
          <t>Significant automation of rule lifecycle tasks including testing, deployment, and basic tuning. AI-based quality checks on new rules. Continuous improvement processes defined.</t>
        </is>
      </c>
      <c r="C153" s="34" t="inlineStr">
        <is>
          <t>40-60% of tasks automated; AI quality checks on new rules; improvement metrics tracked.</t>
        </is>
      </c>
    </row>
    <row r="154" ht="42" customHeight="1">
      <c r="A154" s="35" t="inlineStr">
        <is>
          <t>4 — Managed</t>
        </is>
      </c>
      <c r="B154" s="36" t="inlineStr">
        <is>
          <t>Advanced automation covering most of the detection lifecycle. AI/LLM tools used for rule optimization and analysis.</t>
        </is>
      </c>
      <c r="C154" s="36" t="inlineStr">
        <is>
          <t>70-80% automated; AI/LLM tools in use for optimization.</t>
        </is>
      </c>
    </row>
    <row r="155" ht="42" customHeight="1">
      <c r="A155" s="35" t="inlineStr">
        <is>
          <t>5 — Optimized</t>
        </is>
      </c>
      <c r="B155" s="36" t="inlineStr">
        <is>
          <t>Full generative AI/LLM integration throughout the detection lifecycle. Automated rule generation, tuning, and retirement.</t>
        </is>
      </c>
      <c r="C155" s="36" t="inlineStr">
        <is>
          <t>&gt;90% automated; 40%+ FP reduction via AI; full lifecycle AI integration.</t>
        </is>
      </c>
    </row>
    <row r="157" ht="32" customHeight="1">
      <c r="A157" s="8" t="inlineStr">
        <is>
          <t>Enrichment: People &amp; Organization</t>
        </is>
      </c>
      <c r="B157" s="2" t="n"/>
      <c r="C157" s="2" t="n"/>
    </row>
    <row r="158" ht="28" customHeight="1">
      <c r="A158" s="28" t="inlineStr">
        <is>
          <t>Assesses the human and organizational factors that enable effective detection engineering, drawn from Kyle Bailey's Detection Engineering Maturity Matrix.</t>
        </is>
      </c>
    </row>
    <row r="159" ht="26" customHeight="1">
      <c r="A159" s="29" t="inlineStr">
        <is>
          <t>Team Structure and Dedicated Roles</t>
        </is>
      </c>
      <c r="B159" s="30" t="n"/>
      <c r="C159" s="30" t="n"/>
    </row>
    <row r="160" ht="22" customHeight="1">
      <c r="A160" s="7" t="inlineStr">
        <is>
          <t>Level</t>
        </is>
      </c>
      <c r="B160" s="7" t="inlineStr">
        <is>
          <t>Description</t>
        </is>
      </c>
      <c r="C160" s="7" t="inlineStr">
        <is>
          <t>Quantitative Measure</t>
        </is>
      </c>
    </row>
    <row r="161" ht="42" customHeight="1">
      <c r="A161" s="31" t="inlineStr">
        <is>
          <t>1 — Initial</t>
        </is>
      </c>
      <c r="B161" s="32" t="inlineStr">
        <is>
          <t>No dedicated detection engineering roles. Detection work is done part-time by SOC analysts or other security staff as a side task.</t>
        </is>
      </c>
      <c r="C161" s="32" t="inlineStr">
        <is>
          <t>Zero dedicated detection engineering FTEs.</t>
        </is>
      </c>
    </row>
    <row r="162" ht="42" customHeight="1">
      <c r="A162" s="31" t="inlineStr">
        <is>
          <t>2 — Repeatable</t>
        </is>
      </c>
      <c r="B162" s="32" t="inlineStr">
        <is>
          <t>One or more staff have detection engineering as a partial responsibility. No formal team structure or career path.</t>
        </is>
      </c>
      <c r="C162" s="32" t="inlineStr">
        <is>
          <t>Part-time detection engineering; no dedicated team.</t>
        </is>
      </c>
    </row>
    <row r="163" ht="42" customHeight="1">
      <c r="A163" s="33" t="inlineStr">
        <is>
          <t>3 — Defined</t>
        </is>
      </c>
      <c r="B163" s="34" t="inlineStr">
        <is>
          <t>Dedicated detection engineering role(s) or team established. Clear responsibilities and basic career progression defined.</t>
        </is>
      </c>
      <c r="C163" s="34" t="inlineStr">
        <is>
          <t>At least 1 dedicated FTE; defined role and responsibilities.</t>
        </is>
      </c>
    </row>
    <row r="164" ht="42" customHeight="1">
      <c r="A164" s="35" t="inlineStr">
        <is>
          <t>4 — Managed</t>
        </is>
      </c>
      <c r="B164" s="36" t="inlineStr">
        <is>
          <t>Established detection engineering team with subject matter experts across key domains (host, network, cloud, application).</t>
        </is>
      </c>
      <c r="C164" s="36" t="inlineStr">
        <is>
          <t>Multi-person team with domain specialization; defined career ladder.</t>
        </is>
      </c>
    </row>
    <row r="165" ht="42" customHeight="1">
      <c r="A165" s="35" t="inlineStr">
        <is>
          <t>5 — Optimized</t>
        </is>
      </c>
      <c r="B165" s="36" t="inlineStr">
        <is>
          <t>Mature team with deep specialization, mentorship programs, and influence on organizational security strategy.</t>
        </is>
      </c>
      <c r="C165" s="36" t="inlineStr">
        <is>
          <t>Full team with domain experts; mentorship program; strategic influence.</t>
        </is>
      </c>
    </row>
    <row r="167" ht="26" customHeight="1">
      <c r="A167" s="29" t="inlineStr">
        <is>
          <t>Skills Development and Training</t>
        </is>
      </c>
      <c r="B167" s="30" t="n"/>
      <c r="C167" s="30" t="n"/>
    </row>
    <row r="168" ht="22" customHeight="1">
      <c r="A168" s="7" t="inlineStr">
        <is>
          <t>Level</t>
        </is>
      </c>
      <c r="B168" s="7" t="inlineStr">
        <is>
          <t>Description</t>
        </is>
      </c>
      <c r="C168" s="7" t="inlineStr">
        <is>
          <t>Quantitative Measure</t>
        </is>
      </c>
    </row>
    <row r="169" ht="42" customHeight="1">
      <c r="A169" s="31" t="inlineStr">
        <is>
          <t>1 — Initial</t>
        </is>
      </c>
      <c r="B169" s="32" t="inlineStr">
        <is>
          <t>No formal training or skills development for detection engineering. Learning is self-directed with no organizational support.</t>
        </is>
      </c>
      <c r="C169" s="32" t="inlineStr">
        <is>
          <t>Zero training budget or programs for detection engineering.</t>
        </is>
      </c>
    </row>
    <row r="170" ht="42" customHeight="1">
      <c r="A170" s="31" t="inlineStr">
        <is>
          <t>2 — Repeatable</t>
        </is>
      </c>
      <c r="B170" s="32" t="inlineStr">
        <is>
          <t>Some ad hoc training available. Individuals may attend conferences or take courses, but there is no structured program.</t>
        </is>
      </c>
      <c r="C170" s="32" t="inlineStr">
        <is>
          <t>Occasional training; no structured development program.</t>
        </is>
      </c>
    </row>
    <row r="171" ht="42" customHeight="1">
      <c r="A171" s="33" t="inlineStr">
        <is>
          <t>3 — Defined</t>
        </is>
      </c>
      <c r="B171" s="34" t="inlineStr">
        <is>
          <t>Defined training program covering core detection engineering skills. Regular knowledge sharing sessions within the team.</t>
        </is>
      </c>
      <c r="C171" s="34" t="inlineStr">
        <is>
          <t>Annual training plan; regular knowledge sharing; defined skill requirements.</t>
        </is>
      </c>
    </row>
    <row r="172" ht="42" customHeight="1">
      <c r="A172" s="35" t="inlineStr">
        <is>
          <t>4 — Managed</t>
        </is>
      </c>
      <c r="B172" s="36" t="inlineStr">
        <is>
          <t>Comprehensive training covering advanced topics. Cross-training with related teams (IR, threat intel, engineering). Certifications supported.</t>
        </is>
      </c>
      <c r="C172" s="36" t="inlineStr">
        <is>
          <t>Advanced training program; cross-training; certification support.</t>
        </is>
      </c>
    </row>
    <row r="173" ht="42" customHeight="1">
      <c r="A173" s="35" t="inlineStr">
        <is>
          <t>5 — Optimized</t>
        </is>
      </c>
      <c r="B173" s="36" t="inlineStr">
        <is>
          <t>Continuous learning culture with advanced training, conference participation, community contribution, and internal research programs.</t>
        </is>
      </c>
      <c r="C173" s="36" t="inlineStr">
        <is>
          <t>Continuous development; community contribution; internal research.</t>
        </is>
      </c>
    </row>
    <row r="175" ht="26" customHeight="1">
      <c r="A175" s="29" t="inlineStr">
        <is>
          <t>Leadership Commitment and Executive Sponsorship</t>
        </is>
      </c>
      <c r="B175" s="30" t="n"/>
      <c r="C175" s="30" t="n"/>
    </row>
    <row r="176" ht="22" customHeight="1">
      <c r="A176" s="7" t="inlineStr">
        <is>
          <t>Level</t>
        </is>
      </c>
      <c r="B176" s="7" t="inlineStr">
        <is>
          <t>Description</t>
        </is>
      </c>
      <c r="C176" s="7" t="inlineStr">
        <is>
          <t>Quantitative Measure</t>
        </is>
      </c>
    </row>
    <row r="177" ht="42" customHeight="1">
      <c r="A177" s="31" t="inlineStr">
        <is>
          <t>1 — Initial</t>
        </is>
      </c>
      <c r="B177" s="32" t="inlineStr">
        <is>
          <t>No executive awareness or sponsorship of detection engineering. The function is not recognized as a distinct capability.</t>
        </is>
      </c>
      <c r="C177" s="32" t="inlineStr">
        <is>
          <t>Zero executive engagement with detection engineering.</t>
        </is>
      </c>
    </row>
    <row r="178" ht="42" customHeight="1">
      <c r="A178" s="31" t="inlineStr">
        <is>
          <t>2 — Repeatable</t>
        </is>
      </c>
      <c r="B178" s="32" t="inlineStr">
        <is>
          <t>Some leadership awareness of detection engineering but no formal sponsorship or dedicated budget allocation.</t>
        </is>
      </c>
      <c r="C178" s="32" t="inlineStr">
        <is>
          <t>Informal awareness; no dedicated budget.</t>
        </is>
      </c>
    </row>
    <row r="179" ht="42" customHeight="1">
      <c r="A179" s="33" t="inlineStr">
        <is>
          <t>3 — Defined</t>
        </is>
      </c>
      <c r="B179" s="34" t="inlineStr">
        <is>
          <t>Executive sponsor identified. Detection engineering has a defined budget and is recognized as a distinct function.</t>
        </is>
      </c>
      <c r="C179" s="34" t="inlineStr">
        <is>
          <t>Dedicated budget; executive sponsor; function formally recognized.</t>
        </is>
      </c>
    </row>
    <row r="180" ht="42" customHeight="1">
      <c r="A180" s="35" t="inlineStr">
        <is>
          <t>4 — Managed</t>
        </is>
      </c>
      <c r="B180" s="36" t="inlineStr">
        <is>
          <t>Strong executive support with detection engineering metrics reported to leadership. Function influences security investment decisions.</t>
        </is>
      </c>
      <c r="C180" s="36" t="inlineStr">
        <is>
          <t>Regular executive reporting; metrics-driven investment decisions.</t>
        </is>
      </c>
    </row>
    <row r="181" ht="42" customHeight="1">
      <c r="A181" s="35" t="inlineStr">
        <is>
          <t>5 — Optimized</t>
        </is>
      </c>
      <c r="B181" s="36" t="inlineStr">
        <is>
          <t>Detection engineering is a strategic priority. Executive leadership actively champions the function and its value across the organization.</t>
        </is>
      </c>
      <c r="C181" s="36" t="inlineStr">
        <is>
          <t>Strategic priority; board-level visibility; cross-org influence.</t>
        </is>
      </c>
    </row>
    <row r="183" ht="32" customHeight="1">
      <c r="A183" s="8" t="inlineStr">
        <is>
          <t>Enrichment: Process &amp; Governance</t>
        </is>
      </c>
      <c r="B183" s="2" t="n"/>
      <c r="C183" s="2" t="n"/>
    </row>
    <row r="184" ht="28" customHeight="1">
      <c r="A184" s="28" t="inlineStr">
        <is>
          <t>Assesses the process maturity and governance structures supporting detection engineering, drawn from Kyle Bailey's Detection Engineering Maturity Matrix.</t>
        </is>
      </c>
    </row>
    <row r="185" ht="26" customHeight="1">
      <c r="A185" s="29" t="inlineStr">
        <is>
          <t>Detection Lifecycle Workflow</t>
        </is>
      </c>
      <c r="B185" s="30" t="n"/>
      <c r="C185" s="30" t="n"/>
    </row>
    <row r="186" ht="22" customHeight="1">
      <c r="A186" s="7" t="inlineStr">
        <is>
          <t>Level</t>
        </is>
      </c>
      <c r="B186" s="7" t="inlineStr">
        <is>
          <t>Description</t>
        </is>
      </c>
      <c r="C186" s="7" t="inlineStr">
        <is>
          <t>Quantitative Measure</t>
        </is>
      </c>
    </row>
    <row r="187" ht="42" customHeight="1">
      <c r="A187" s="31" t="inlineStr">
        <is>
          <t>1 — Initial</t>
        </is>
      </c>
      <c r="B187" s="32" t="inlineStr">
        <is>
          <t>No defined detection lifecycle. Detections are created and deployed without a structured workflow from request to retirement.</t>
        </is>
      </c>
      <c r="C187" s="32" t="inlineStr">
        <is>
          <t>No documented lifecycle process.</t>
        </is>
      </c>
    </row>
    <row r="188" ht="42" customHeight="1">
      <c r="A188" s="31" t="inlineStr">
        <is>
          <t>2 — Repeatable</t>
        </is>
      </c>
      <c r="B188" s="32" t="inlineStr">
        <is>
          <t>Basic lifecycle exists covering creation and deployment, but lacks formal stages for request, review, testing, or retirement.</t>
        </is>
      </c>
      <c r="C188" s="32" t="inlineStr">
        <is>
          <t>Partial lifecycle; 2-3 stages defined.</t>
        </is>
      </c>
    </row>
    <row r="189" ht="42" customHeight="1">
      <c r="A189" s="33" t="inlineStr">
        <is>
          <t>3 — Defined</t>
        </is>
      </c>
      <c r="B189" s="34" t="inlineStr">
        <is>
          <t>Full detection lifecycle defined covering request, development, review, testing, deployment, monitoring, and retirement.</t>
        </is>
      </c>
      <c r="C189" s="34" t="inlineStr">
        <is>
          <t>Full lifecycle documented; all stages defined and followed.</t>
        </is>
      </c>
    </row>
    <row r="190" ht="42" customHeight="1">
      <c r="A190" s="35" t="inlineStr">
        <is>
          <t>4 — Managed</t>
        </is>
      </c>
      <c r="B190" s="36" t="inlineStr">
        <is>
          <t>Lifecycle is enforced through tooling and automation. SLAs defined for each stage. Metrics tracked for cycle time and throughput.</t>
        </is>
      </c>
      <c r="C190" s="36" t="inlineStr">
        <is>
          <t>Automated lifecycle enforcement; SLAs defined; cycle time tracked.</t>
        </is>
      </c>
    </row>
    <row r="191" ht="42" customHeight="1">
      <c r="A191" s="35" t="inlineStr">
        <is>
          <t>5 — Optimized</t>
        </is>
      </c>
      <c r="B191" s="36" t="inlineStr">
        <is>
          <t>Optimized lifecycle with continuous improvement. Automated stage transitions, predictive analytics for rule retirement.</t>
        </is>
      </c>
      <c r="C191" s="36" t="inlineStr">
        <is>
          <t>Fully automated lifecycle; predictive analytics; continuous optimization.</t>
        </is>
      </c>
    </row>
    <row r="193" ht="26" customHeight="1">
      <c r="A193" s="29" t="inlineStr">
        <is>
          <t>Metrics and KPI Tracking</t>
        </is>
      </c>
      <c r="B193" s="30" t="n"/>
      <c r="C193" s="30" t="n"/>
    </row>
    <row r="194" ht="22" customHeight="1">
      <c r="A194" s="7" t="inlineStr">
        <is>
          <t>Level</t>
        </is>
      </c>
      <c r="B194" s="7" t="inlineStr">
        <is>
          <t>Description</t>
        </is>
      </c>
      <c r="C194" s="7" t="inlineStr">
        <is>
          <t>Quantitative Measure</t>
        </is>
      </c>
    </row>
    <row r="195" ht="42" customHeight="1">
      <c r="A195" s="31" t="inlineStr">
        <is>
          <t>1 — Initial</t>
        </is>
      </c>
      <c r="B195" s="32" t="inlineStr">
        <is>
          <t>No metrics tracked for detection engineering performance. Success is anecdotal or unmeasured.</t>
        </is>
      </c>
      <c r="C195" s="32" t="inlineStr">
        <is>
          <t>Zero detection engineering KPIs defined or tracked.</t>
        </is>
      </c>
    </row>
    <row r="196" ht="42" customHeight="1">
      <c r="A196" s="31" t="inlineStr">
        <is>
          <t>2 — Repeatable</t>
        </is>
      </c>
      <c r="B196" s="32" t="inlineStr">
        <is>
          <t>Basic metrics tracked informally (e.g., number of rules, alert volume). No formal KPI program or dashboards.</t>
        </is>
      </c>
      <c r="C196" s="32" t="inlineStr">
        <is>
          <t>1-2 basic metrics tracked informally.</t>
        </is>
      </c>
    </row>
    <row r="197" ht="42" customHeight="1">
      <c r="A197" s="33" t="inlineStr">
        <is>
          <t>3 — Defined</t>
        </is>
      </c>
      <c r="B197" s="34" t="inlineStr">
        <is>
          <t>Defined KPIs covering key areas (coverage, quality, velocity). Regular reporting to stakeholders with dashboards.</t>
        </is>
      </c>
      <c r="C197" s="34" t="inlineStr">
        <is>
          <t>3-5 KPIs defined; quarterly reporting; dashboards available.</t>
        </is>
      </c>
    </row>
    <row r="198" ht="42" customHeight="1">
      <c r="A198" s="35" t="inlineStr">
        <is>
          <t>4 — Managed</t>
        </is>
      </c>
      <c r="B198" s="36" t="inlineStr">
        <is>
          <t>Comprehensive metrics program with automated collection, trending, and correlation. Metrics drive decision-making.</t>
        </is>
      </c>
      <c r="C198" s="36" t="inlineStr">
        <is>
          <t>5+ KPIs; automated collection; metrics-driven decisions.</t>
        </is>
      </c>
    </row>
    <row r="199" ht="42" customHeight="1">
      <c r="A199" s="35" t="inlineStr">
        <is>
          <t>5 — Optimized</t>
        </is>
      </c>
      <c r="B199" s="36" t="inlineStr">
        <is>
          <t>Advanced analytics on detection engineering performance. Predictive metrics, benchmarking, and continuous optimization based on data.</t>
        </is>
      </c>
      <c r="C199" s="36" t="inlineStr">
        <is>
          <t>Predictive analytics; benchmarking; data-driven continuous optimization.</t>
        </is>
      </c>
    </row>
    <row r="201" ht="26" customHeight="1">
      <c r="A201" s="29" t="inlineStr">
        <is>
          <t>Cross-Team Collaboration</t>
        </is>
      </c>
      <c r="B201" s="30" t="n"/>
      <c r="C201" s="30" t="n"/>
    </row>
    <row r="202" ht="22" customHeight="1">
      <c r="A202" s="7" t="inlineStr">
        <is>
          <t>Level</t>
        </is>
      </c>
      <c r="B202" s="7" t="inlineStr">
        <is>
          <t>Description</t>
        </is>
      </c>
      <c r="C202" s="7" t="inlineStr">
        <is>
          <t>Quantitative Measure</t>
        </is>
      </c>
    </row>
    <row r="203" ht="42" customHeight="1">
      <c r="A203" s="31" t="inlineStr">
        <is>
          <t>1 — Initial</t>
        </is>
      </c>
      <c r="B203" s="32" t="inlineStr">
        <is>
          <t>Detection engineering operates in isolation. No structured collaboration with incident response, threat intelligence, or engineering teams.</t>
        </is>
      </c>
      <c r="C203" s="32" t="inlineStr">
        <is>
          <t>Zero structured cross-team interactions.</t>
        </is>
      </c>
    </row>
    <row r="204" ht="42" customHeight="1">
      <c r="A204" s="31" t="inlineStr">
        <is>
          <t>2 — Repeatable</t>
        </is>
      </c>
      <c r="B204" s="32" t="inlineStr">
        <is>
          <t>Ad hoc collaboration with other teams, typically reactive to incidents or specific requests.</t>
        </is>
      </c>
      <c r="C204" s="32" t="inlineStr">
        <is>
          <t>Occasional reactive collaboration; no formal processes.</t>
        </is>
      </c>
    </row>
    <row r="205" ht="42" customHeight="1">
      <c r="A205" s="33" t="inlineStr">
        <is>
          <t>3 — Defined</t>
        </is>
      </c>
      <c r="B205" s="34" t="inlineStr">
        <is>
          <t>Regular collaboration with IR, threat intel, and engineering teams through defined channels and scheduled touchpoints.</t>
        </is>
      </c>
      <c r="C205" s="34" t="inlineStr">
        <is>
          <t>Regular scheduled touchpoints; defined collaboration channels.</t>
        </is>
      </c>
    </row>
    <row r="206" ht="42" customHeight="1">
      <c r="A206" s="35" t="inlineStr">
        <is>
          <t>4 — Managed</t>
        </is>
      </c>
      <c r="B206" s="36" t="inlineStr">
        <is>
          <t>Deep integration with related teams. Joint planning, shared objectives, and integrated workflows (e.g., threat intel feeds directly inform detection priorities).</t>
        </is>
      </c>
      <c r="C206" s="36" t="inlineStr">
        <is>
          <t>Joint planning sessions; shared objectives; integrated workflows.</t>
        </is>
      </c>
    </row>
    <row r="207" ht="42" customHeight="1">
      <c r="A207" s="35" t="inlineStr">
        <is>
          <t>5 — Optimized</t>
        </is>
      </c>
      <c r="B207" s="36" t="inlineStr">
        <is>
          <t>Seamless cross-functional collaboration. Detection engineering is embedded in security operations with automated information sharing.</t>
        </is>
      </c>
      <c r="C207" s="36" t="inlineStr">
        <is>
          <t>Fully integrated operations; automated information sharing; shared metrics.</t>
        </is>
      </c>
    </row>
  </sheetData>
  <mergeCells count="39">
    <mergeCell ref="A183:C183"/>
    <mergeCell ref="A193:C193"/>
    <mergeCell ref="A37:C37"/>
    <mergeCell ref="A89:C89"/>
    <mergeCell ref="A149:C149"/>
    <mergeCell ref="A158:C158"/>
    <mergeCell ref="A3:C3"/>
    <mergeCell ref="A21:C21"/>
    <mergeCell ref="A105:C105"/>
    <mergeCell ref="A55:C55"/>
    <mergeCell ref="A139:C139"/>
    <mergeCell ref="A113:C113"/>
    <mergeCell ref="A175:C175"/>
    <mergeCell ref="A71:C71"/>
    <mergeCell ref="A185:C185"/>
    <mergeCell ref="A47:C47"/>
    <mergeCell ref="A5:C5"/>
    <mergeCell ref="A141:C141"/>
    <mergeCell ref="A159:C159"/>
    <mergeCell ref="A97:C97"/>
    <mergeCell ref="A131:C131"/>
    <mergeCell ref="A140:C140"/>
    <mergeCell ref="A184:C184"/>
    <mergeCell ref="A29:C29"/>
    <mergeCell ref="A4:C4"/>
    <mergeCell ref="A38:C38"/>
    <mergeCell ref="A115:C115"/>
    <mergeCell ref="A13:C13"/>
    <mergeCell ref="A63:C63"/>
    <mergeCell ref="A167:C167"/>
    <mergeCell ref="A39:C39"/>
    <mergeCell ref="A114:C114"/>
    <mergeCell ref="A157:C157"/>
    <mergeCell ref="A201:C201"/>
    <mergeCell ref="A1:C1"/>
    <mergeCell ref="A79:C79"/>
    <mergeCell ref="A123:C123"/>
    <mergeCell ref="A88:C88"/>
    <mergeCell ref="A87:C8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2026-02-27T00:24:07Z</dcterms:created>
  <dcterms:modified xsi:type="dcterms:W3CDTF">2026-02-27T00:24:07Z</dcterms:modified>
</cp:coreProperties>
</file>