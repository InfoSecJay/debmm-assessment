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4" t="n"/>
      <c r="F6" s="45">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c r="M6" t="inlineStr">
        <is>
          <t>Advanced</t>
        </is>
      </c>
      <c r="N6" s="40">
        <f>D28</f>
        <v/>
      </c>
    </row>
    <row r="7" ht="8" customHeight="1">
      <c r="M7" t="inlineStr">
        <is>
          <t>Expert</t>
        </is>
      </c>
      <c r="N7" s="40">
        <f>D32</f>
        <v/>
      </c>
    </row>
    <row r="8" ht="62" customHeight="1">
      <c r="B8" s="46">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50">
        <f>Assessment!D4</f>
        <v/>
      </c>
    </row>
    <row r="3">
      <c r="A3" s="69" t="inlineStr">
        <is>
          <t>Assessor</t>
        </is>
      </c>
      <c r="B3" s="50">
        <f>Assessment!D5</f>
        <v/>
      </c>
    </row>
    <row r="4">
      <c r="A4" s="69" t="inlineStr">
        <is>
          <t>Date</t>
        </is>
      </c>
      <c r="B4" s="50">
        <f>Assessment!D7</f>
        <v/>
      </c>
    </row>
    <row r="5">
      <c r="A5" s="69" t="inlineStr">
        <is>
          <t>Assessment Type</t>
        </is>
      </c>
      <c r="B5" s="50">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50">
        <f>IF(AND(AND(D18&gt;=3,D19&gt;=3,D20&gt;=3,D21&gt;=3),AND(D22&gt;=3,D23&gt;=3,D24&gt;=3,D25&gt;=3,D26&gt;=3,D27&gt;=3),AND(D28&gt;=3,D29&gt;=3,D30&gt;=3),AND(D31&gt;=3,D32&gt;=3,D33&gt;=3),AND(D34&gt;=3,D35&gt;=3)),"Tier 4: Expert",IF(AND(AND(D18&gt;=3,D19&gt;=3,D20&gt;=3,D21&gt;=3),AND(D22&gt;=3,D23&gt;=3,D24&gt;=3,D25&gt;=3,D26&gt;=3,D27&gt;=3),AND(D28&gt;=3,D29&gt;=3,D30&gt;=3),AND(D31&gt;=3,D32&gt;=3,D33&gt;=3)),"Tier 3: Advanced",IF(AND(AND(D18&gt;=3,D19&gt;=3,D20&gt;=3,D21&gt;=3),AND(D22&gt;=3,D23&gt;=3,D24&gt;=3,D25&gt;=3,D26&gt;=3,D27&gt;=3),AND(D28&gt;=3,D29&gt;=3,D30&gt;=3)),"Tier 2: Intermediate",IF(AND(AND(D18&gt;=3,D19&gt;=3,D20&gt;=3,D21&gt;=3),AND(D22&gt;=3,D23&gt;=3,D24&gt;=3,D25&gt;=3,D26&gt;=3,D27&gt;=3)),"Tier 1: Basic",IF(AND(AND(D18&gt;=3,D19&gt;=3,D20&gt;=3,D21&gt;=3)),"Tier 0: Foundation","Below Foundation")))))</f>
        <v/>
      </c>
    </row>
    <row r="8">
      <c r="A8" s="69" t="inlineStr">
        <is>
          <t>Completion</t>
        </is>
      </c>
      <c r="B8" s="50">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74">
        <f>IF(COUNT(Assessment!F15,Assessment!F16,Assessment!F17,Assessment!F18,Assessment!F19,Assessment!F20,Assessment!F21)=0,"",AVERAGE(Assessment!F15,Assessment!F16,Assessment!F17,Assessment!F18,Assessment!F19,Assessment!F20,Assessment!F21))</f>
        <v/>
      </c>
      <c r="D11" s="75">
        <f>IF(C11="","",IF(C11&gt;=4.5,"Optimized",IF(C11&gt;=3.5,"Managed",IF(C11&gt;=2.5,"Defined",IF(C11&gt;=1.5,"Repeatable","Initial")))))</f>
        <v/>
      </c>
      <c r="E11" s="75">
        <f>IF(C11="","",IF(C11&gt;=3,"✓ Pass","✗ Below Target"))</f>
        <v/>
      </c>
      <c r="F11" s="72">
        <f>IF(C11="","Not Started",IF(AND(AND(D18&gt;=3,D19&gt;=3,D20&gt;=3,D21&gt;=3)),"Complete",IF(TRUE,"Current","In Progress")))</f>
        <v/>
      </c>
    </row>
    <row r="12">
      <c r="A12" s="72" t="inlineStr">
        <is>
          <t>T1</t>
        </is>
      </c>
      <c r="B12" s="73" t="inlineStr">
        <is>
          <t>Basic</t>
        </is>
      </c>
      <c r="C12" s="74">
        <f>IF(COUNT(Assessment!F24,Assessment!F25,Assessment!F26,Assessment!F27,Assessment!F28,Assessment!F29,Assessment!F30,Assessment!F31,Assessment!F32)=0,"",AVERAGE(Assessment!F24,Assessment!F25,Assessment!F26,Assessment!F27,Assessment!F28,Assessment!F29,Assessment!F30,Assessment!F31,Assessment!F32))</f>
        <v/>
      </c>
      <c r="D12" s="75">
        <f>IF(C12="","",IF(C12&gt;=4.5,"Optimized",IF(C12&gt;=3.5,"Managed",IF(C12&gt;=2.5,"Defined",IF(C12&gt;=1.5,"Repeatable","Initial")))))</f>
        <v/>
      </c>
      <c r="E12" s="75">
        <f>IF(C12="","",IF(C12&gt;=3,"✓ Pass","✗ Below Target"))</f>
        <v/>
      </c>
      <c r="F12" s="72">
        <f>IF(C12="","Not Started",IF(AND(AND(D18&gt;=3,D19&gt;=3,D20&gt;=3,D21&gt;=3),AND(D22&gt;=3,D23&gt;=3,D24&gt;=3,D25&gt;=3,D26&gt;=3,D27&gt;=3)),"Complete",IF(AND(AND(D18&gt;=3,D19&gt;=3,D20&gt;=3,D21&gt;=3)),"Current","In Progress")))</f>
        <v/>
      </c>
    </row>
    <row r="13">
      <c r="A13" s="72" t="inlineStr">
        <is>
          <t>T2</t>
        </is>
      </c>
      <c r="B13" s="73" t="inlineStr">
        <is>
          <t>Intermediate</t>
        </is>
      </c>
      <c r="C13" s="74">
        <f>IF(COUNT(Assessment!F35,Assessment!F36,Assessment!F37,Assessment!F38,Assessment!F39,Assessment!F40)=0,"",AVERAGE(Assessment!F35,Assessment!F36,Assessment!F37,Assessment!F38,Assessment!F39,Assessment!F40))</f>
        <v/>
      </c>
      <c r="D13" s="75">
        <f>IF(C13="","",IF(C13&gt;=4.5,"Optimized",IF(C13&gt;=3.5,"Managed",IF(C13&gt;=2.5,"Defined",IF(C13&gt;=1.5,"Repeatable","Initial")))))</f>
        <v/>
      </c>
      <c r="E13" s="75">
        <f>IF(C13="","",IF(C13&gt;=3,"✓ Pass","✗ Below Target"))</f>
        <v/>
      </c>
      <c r="F13" s="72">
        <f>IF(C13="","Not Started",IF(AND(AND(D18&gt;=3,D19&gt;=3,D20&gt;=3,D21&gt;=3),AND(D22&gt;=3,D23&gt;=3,D24&gt;=3,D25&gt;=3,D26&gt;=3,D27&gt;=3),AND(D28&gt;=3,D29&gt;=3,D30&gt;=3)),"Complete",IF(AND(AND(D18&gt;=3,D19&gt;=3,D20&gt;=3,D21&gt;=3),AND(D22&gt;=3,D23&gt;=3,D24&gt;=3,D25&gt;=3,D26&gt;=3,D27&gt;=3)),"Current","In Progress")))</f>
        <v/>
      </c>
    </row>
    <row r="14">
      <c r="A14" s="72" t="inlineStr">
        <is>
          <t>T3</t>
        </is>
      </c>
      <c r="B14" s="73" t="inlineStr">
        <is>
          <t>Advanced</t>
        </is>
      </c>
      <c r="C14" s="74">
        <f>IF(COUNT(Assessment!F43,Assessment!F44,Assessment!F45,Assessment!F46,Assessment!F47)=0,"",AVERAGE(Assessment!F43,Assessment!F44,Assessment!F45,Assessment!F46,Assessment!F47))</f>
        <v/>
      </c>
      <c r="D14" s="75">
        <f>IF(C14="","",IF(C14&gt;=4.5,"Optimized",IF(C14&gt;=3.5,"Managed",IF(C14&gt;=2.5,"Defined",IF(C14&gt;=1.5,"Repeatable","Initial")))))</f>
        <v/>
      </c>
      <c r="E14" s="75">
        <f>IF(C14="","",IF(C14&gt;=3,"✓ Pass","✗ Below Target"))</f>
        <v/>
      </c>
      <c r="F14" s="72">
        <f>IF(C14="","Not Started",IF(AND(AND(D18&gt;=3,D19&gt;=3,D20&gt;=3,D21&gt;=3),AND(D22&gt;=3,D23&gt;=3,D24&gt;=3,D25&gt;=3,D26&gt;=3,D27&gt;=3),AND(D28&gt;=3,D29&gt;=3,D30&gt;=3),AND(D31&gt;=3,D32&gt;=3,D33&gt;=3)),"Complete",IF(AND(AND(D18&gt;=3,D19&gt;=3,D20&gt;=3,D21&gt;=3),AND(D22&gt;=3,D23&gt;=3,D24&gt;=3,D25&gt;=3,D26&gt;=3,D27&gt;=3),AND(D28&gt;=3,D29&gt;=3,D30&gt;=3)),"Current","In Progress")))</f>
        <v/>
      </c>
    </row>
    <row r="15">
      <c r="A15" s="72" t="inlineStr">
        <is>
          <t>T4</t>
        </is>
      </c>
      <c r="B15" s="73" t="inlineStr">
        <is>
          <t>Expert</t>
        </is>
      </c>
      <c r="C15" s="74">
        <f>IF(COUNT(Assessment!F50,Assessment!F51,Assessment!F52,Assessment!F53,Assessment!F54)=0,"",AVERAGE(Assessment!F50,Assessment!F51,Assessment!F52,Assessment!F53,Assessment!F54))</f>
        <v/>
      </c>
      <c r="D15" s="75">
        <f>IF(C15="","",IF(C15&gt;=4.5,"Optimized",IF(C15&gt;=3.5,"Managed",IF(C15&gt;=2.5,"Defined",IF(C15&gt;=1.5,"Repeatable","Initial")))))</f>
        <v/>
      </c>
      <c r="E15" s="75">
        <f>IF(C15="","",IF(C15&gt;=3,"✓ Pass","✗ Below Target"))</f>
        <v/>
      </c>
      <c r="F15" s="72">
        <f>IF(C15="","Not Started",IF(AND(AND(D18&gt;=3,D19&gt;=3,D20&gt;=3,D21&gt;=3),AND(D22&gt;=3,D23&gt;=3,D24&gt;=3,D25&gt;=3,D26&gt;=3,D27&gt;=3),AND(D28&gt;=3,D29&gt;=3,D30&gt;=3),AND(D31&gt;=3,D32&gt;=3,D33&gt;=3),AND(D34&gt;=3,D35&gt;=3)),"Complete",IF(AND(AND(D18&gt;=3,D19&gt;=3,D20&gt;=3,D21&gt;=3),AND(D22&gt;=3,D23&gt;=3,D24&gt;=3,D25&gt;=3,D26&gt;=3,D27&gt;=3),AND(D28&gt;=3,D29&gt;=3,D30&gt;=3),AND(D31&gt;=3,D32&gt;=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50" t="inlineStr">
        <is>
          <t>DEBMM Core</t>
        </is>
      </c>
      <c r="B18" s="50" t="inlineStr">
        <is>
          <t>Foundation</t>
        </is>
      </c>
      <c r="C18" s="69" t="inlineStr">
        <is>
          <t>Structured Rule Development Approach</t>
        </is>
      </c>
      <c r="D18" s="51">
        <f>IF(COUNT(Assessment!F15,Assessment!F16)=0,"",AVERAGE(Assessment!F15,Assessment!F16))</f>
        <v/>
      </c>
      <c r="E18" s="52">
        <f>IF(D18="","",IF(D18&gt;=4.5,"Optimized",IF(D18&gt;=3.5,"Managed",IF(D18&gt;=2.5,"Defined",IF(D18&gt;=1.5,"Repeatable","Initial")))))</f>
        <v/>
      </c>
      <c r="F18" s="52">
        <f>IF(D18="","",IF(D18&gt;=3,"✓ Pass","✗ Below Target"))</f>
        <v/>
      </c>
    </row>
    <row r="19">
      <c r="A19" s="50" t="inlineStr">
        <is>
          <t>DEBMM Core</t>
        </is>
      </c>
      <c r="B19" s="50" t="inlineStr">
        <is>
          <t>Foundation</t>
        </is>
      </c>
      <c r="C19" s="69" t="inlineStr">
        <is>
          <t>Rule Creation and Maintenance</t>
        </is>
      </c>
      <c r="D19" s="51">
        <f>IF(COUNT(Assessment!F17)=0,"",AVERAGE(Assessment!F17))</f>
        <v/>
      </c>
      <c r="E19" s="52">
        <f>IF(D19="","",IF(D19&gt;=4.5,"Optimized",IF(D19&gt;=3.5,"Managed",IF(D19&gt;=2.5,"Defined",IF(D19&gt;=1.5,"Repeatable","Initial")))))</f>
        <v/>
      </c>
      <c r="F19" s="52">
        <f>IF(D19="","",IF(D19&gt;=3,"✓ Pass","✗ Below Target"))</f>
        <v/>
      </c>
    </row>
    <row r="20">
      <c r="A20" s="50" t="inlineStr">
        <is>
          <t>DEBMM Core</t>
        </is>
      </c>
      <c r="B20" s="50" t="inlineStr">
        <is>
          <t>Foundation</t>
        </is>
      </c>
      <c r="C20" s="69" t="inlineStr">
        <is>
          <t>Roadmap Documentation</t>
        </is>
      </c>
      <c r="D20" s="51">
        <f>IF(COUNT(Assessment!F18)=0,"",AVERAGE(Assessment!F18))</f>
        <v/>
      </c>
      <c r="E20" s="52">
        <f>IF(D20="","",IF(D20&gt;=4.5,"Optimized",IF(D20&gt;=3.5,"Managed",IF(D20&gt;=2.5,"Defined",IF(D20&gt;=1.5,"Repeatable","Initial")))))</f>
        <v/>
      </c>
      <c r="F20" s="52">
        <f>IF(D20="","",IF(D20&gt;=3,"✓ Pass","✗ Below Target"))</f>
        <v/>
      </c>
    </row>
    <row r="21">
      <c r="A21" s="50" t="inlineStr">
        <is>
          <t>DEBMM Core</t>
        </is>
      </c>
      <c r="B21" s="50" t="inlineStr">
        <is>
          <t>Foundation</t>
        </is>
      </c>
      <c r="C21" s="69" t="inlineStr">
        <is>
          <t>Threat Modeling</t>
        </is>
      </c>
      <c r="D21" s="51">
        <f>IF(COUNT(Assessment!F19,Assessment!F20,Assessment!F21)=0,"",AVERAGE(Assessment!F19,Assessment!F20,Assessment!F21))</f>
        <v/>
      </c>
      <c r="E21" s="52">
        <f>IF(D21="","",IF(D21&gt;=4.5,"Optimized",IF(D21&gt;=3.5,"Managed",IF(D21&gt;=2.5,"Defined",IF(D21&gt;=1.5,"Repeatable","Initial")))))</f>
        <v/>
      </c>
      <c r="F21" s="52">
        <f>IF(D21="","",IF(D21&gt;=3,"✓ Pass","✗ Below Target"))</f>
        <v/>
      </c>
    </row>
    <row r="22">
      <c r="A22" s="50" t="inlineStr">
        <is>
          <t>DEBMM Core</t>
        </is>
      </c>
      <c r="B22" s="50" t="inlineStr">
        <is>
          <t>Basic</t>
        </is>
      </c>
      <c r="C22" s="69" t="inlineStr">
        <is>
          <t>Baseline Rule Creation</t>
        </is>
      </c>
      <c r="D22" s="51">
        <f>IF(COUNT(Assessment!F24,Assessment!F25)=0,"",AVERAGE(Assessment!F24,Assessment!F25))</f>
        <v/>
      </c>
      <c r="E22" s="52">
        <f>IF(D22="","",IF(D22&gt;=4.5,"Optimized",IF(D22&gt;=3.5,"Managed",IF(D22&gt;=2.5,"Defined",IF(D22&gt;=1.5,"Repeatable","Initial")))))</f>
        <v/>
      </c>
      <c r="F22" s="52">
        <f>IF(D22="","",IF(D22&gt;=3,"✓ Pass","✗ Below Target"))</f>
        <v/>
      </c>
    </row>
    <row r="23">
      <c r="A23" s="50" t="inlineStr">
        <is>
          <t>DEBMM Core</t>
        </is>
      </c>
      <c r="B23" s="50" t="inlineStr">
        <is>
          <t>Basic</t>
        </is>
      </c>
      <c r="C23" s="69" t="inlineStr">
        <is>
          <t>Ruleset Management and Maintenance</t>
        </is>
      </c>
      <c r="D23" s="51">
        <f>IF(COUNT(Assessment!F26)=0,"",AVERAGE(Assessment!F26))</f>
        <v/>
      </c>
      <c r="E23" s="52">
        <f>IF(D23="","",IF(D23&gt;=4.5,"Optimized",IF(D23&gt;=3.5,"Managed",IF(D23&gt;=2.5,"Defined",IF(D23&gt;=1.5,"Repeatable","Initial")))))</f>
        <v/>
      </c>
      <c r="F23" s="52">
        <f>IF(D23="","",IF(D23&gt;=3,"✓ Pass","✗ Below Target"))</f>
        <v/>
      </c>
    </row>
    <row r="24">
      <c r="A24" s="50" t="inlineStr">
        <is>
          <t>DEBMM Core</t>
        </is>
      </c>
      <c r="B24" s="50" t="inlineStr">
        <is>
          <t>Basic</t>
        </is>
      </c>
      <c r="C24" s="69" t="inlineStr">
        <is>
          <t>Telemetry Quality</t>
        </is>
      </c>
      <c r="D24" s="51">
        <f>IF(COUNT(Assessment!F27,Assessment!F28,Assessment!F29)=0,"",AVERAGE(Assessment!F27,Assessment!F28,Assessment!F29))</f>
        <v/>
      </c>
      <c r="E24" s="52">
        <f>IF(D24="","",IF(D24&gt;=4.5,"Optimized",IF(D24&gt;=3.5,"Managed",IF(D24&gt;=2.5,"Defined",IF(D24&gt;=1.5,"Repeatable","Initial")))))</f>
        <v/>
      </c>
      <c r="F24" s="52">
        <f>IF(D24="","",IF(D24&gt;=3,"✓ Pass","✗ Below Target"))</f>
        <v/>
      </c>
    </row>
    <row r="25">
      <c r="A25" s="50" t="inlineStr">
        <is>
          <t>DEBMM Core</t>
        </is>
      </c>
      <c r="B25" s="50" t="inlineStr">
        <is>
          <t>Basic</t>
        </is>
      </c>
      <c r="C25" s="69" t="inlineStr">
        <is>
          <t>Threat Landscape Review</t>
        </is>
      </c>
      <c r="D25" s="51">
        <f>IF(COUNT(Assessment!F30)=0,"",AVERAGE(Assessment!F30))</f>
        <v/>
      </c>
      <c r="E25" s="52">
        <f>IF(D25="","",IF(D25&gt;=4.5,"Optimized",IF(D25&gt;=3.5,"Managed",IF(D25&gt;=2.5,"Defined",IF(D25&gt;=1.5,"Repeatable","Initial")))))</f>
        <v/>
      </c>
      <c r="F25" s="52">
        <f>IF(D25="","",IF(D25&gt;=3,"✓ Pass","✗ Below Target"))</f>
        <v/>
      </c>
    </row>
    <row r="26">
      <c r="A26" s="50" t="inlineStr">
        <is>
          <t>DEBMM Core</t>
        </is>
      </c>
      <c r="B26" s="50" t="inlineStr">
        <is>
          <t>Basic</t>
        </is>
      </c>
      <c r="C26" s="69" t="inlineStr">
        <is>
          <t>Product Owner Engagement</t>
        </is>
      </c>
      <c r="D26" s="51">
        <f>IF(COUNT(Assessment!F31)=0,"",AVERAGE(Assessment!F31))</f>
        <v/>
      </c>
      <c r="E26" s="52">
        <f>IF(D26="","",IF(D26&gt;=4.5,"Optimized",IF(D26&gt;=3.5,"Managed",IF(D26&gt;=2.5,"Defined",IF(D26&gt;=1.5,"Repeatable","Initial")))))</f>
        <v/>
      </c>
      <c r="F26" s="52">
        <f>IF(D26="","",IF(D26&gt;=3,"✓ Pass","✗ Below Target"))</f>
        <v/>
      </c>
    </row>
    <row r="27">
      <c r="A27" s="50" t="inlineStr">
        <is>
          <t>DEBMM Core</t>
        </is>
      </c>
      <c r="B27" s="50" t="inlineStr">
        <is>
          <t>Basic</t>
        </is>
      </c>
      <c r="C27" s="69" t="inlineStr">
        <is>
          <t>Release Testing and Validation</t>
        </is>
      </c>
      <c r="D27" s="51">
        <f>IF(COUNT(Assessment!F32)=0,"",AVERAGE(Assessment!F32))</f>
        <v/>
      </c>
      <c r="E27" s="52">
        <f>IF(D27="","",IF(D27&gt;=4.5,"Optimized",IF(D27&gt;=3.5,"Managed",IF(D27&gt;=2.5,"Defined",IF(D27&gt;=1.5,"Repeatable","Initial")))))</f>
        <v/>
      </c>
      <c r="F27" s="52">
        <f>IF(D27="","",IF(D27&gt;=3,"✓ Pass","✗ Below Target"))</f>
        <v/>
      </c>
    </row>
    <row r="28">
      <c r="A28" s="50" t="inlineStr">
        <is>
          <t>DEBMM Core</t>
        </is>
      </c>
      <c r="B28" s="50" t="inlineStr">
        <is>
          <t>Intermediate</t>
        </is>
      </c>
      <c r="C28" s="69" t="inlineStr">
        <is>
          <t>False Positive Tuning and Reduction</t>
        </is>
      </c>
      <c r="D28" s="51">
        <f>IF(COUNT(Assessment!F35,Assessment!F36)=0,"",AVERAGE(Assessment!F35,Assessment!F36))</f>
        <v/>
      </c>
      <c r="E28" s="52">
        <f>IF(D28="","",IF(D28&gt;=4.5,"Optimized",IF(D28&gt;=3.5,"Managed",IF(D28&gt;=2.5,"Defined",IF(D28&gt;=1.5,"Repeatable","Initial")))))</f>
        <v/>
      </c>
      <c r="F28" s="52">
        <f>IF(D28="","",IF(D28&gt;=3,"✓ Pass","✗ Below Target"))</f>
        <v/>
      </c>
    </row>
    <row r="29">
      <c r="A29" s="50" t="inlineStr">
        <is>
          <t>DEBMM Core</t>
        </is>
      </c>
      <c r="B29" s="50" t="inlineStr">
        <is>
          <t>Intermediate</t>
        </is>
      </c>
      <c r="C29" s="69" t="inlineStr">
        <is>
          <t>Gap Analysis and Documentation</t>
        </is>
      </c>
      <c r="D29" s="51">
        <f>IF(COUNT(Assessment!F37,Assessment!F38,Assessment!F39)=0,"",AVERAGE(Assessment!F37,Assessment!F38,Assessment!F39))</f>
        <v/>
      </c>
      <c r="E29" s="52">
        <f>IF(D29="","",IF(D29&gt;=4.5,"Optimized",IF(D29&gt;=3.5,"Managed",IF(D29&gt;=2.5,"Defined",IF(D29&gt;=1.5,"Repeatable","Initial")))))</f>
        <v/>
      </c>
      <c r="F29" s="52">
        <f>IF(D29="","",IF(D29&gt;=3,"✓ Pass","✗ Below Target"))</f>
        <v/>
      </c>
    </row>
    <row r="30">
      <c r="A30" s="50" t="inlineStr">
        <is>
          <t>DEBMM Core</t>
        </is>
      </c>
      <c r="B30" s="50" t="inlineStr">
        <is>
          <t>Intermediate</t>
        </is>
      </c>
      <c r="C30" s="69" t="inlineStr">
        <is>
          <t>Internal Testing and Validation</t>
        </is>
      </c>
      <c r="D30" s="51">
        <f>IF(COUNT(Assessment!F40)=0,"",AVERAGE(Assessment!F40))</f>
        <v/>
      </c>
      <c r="E30" s="52">
        <f>IF(D30="","",IF(D30&gt;=4.5,"Optimized",IF(D30&gt;=3.5,"Managed",IF(D30&gt;=2.5,"Defined",IF(D30&gt;=1.5,"Repeatable","Initial")))))</f>
        <v/>
      </c>
      <c r="F30" s="52">
        <f>IF(D30="","",IF(D30&gt;=3,"✓ Pass","✗ Below Target"))</f>
        <v/>
      </c>
    </row>
    <row r="31">
      <c r="A31" s="50" t="inlineStr">
        <is>
          <t>DEBMM Core</t>
        </is>
      </c>
      <c r="B31" s="50" t="inlineStr">
        <is>
          <t>Advanced</t>
        </is>
      </c>
      <c r="C31" s="69" t="inlineStr">
        <is>
          <t>False Negative Triage</t>
        </is>
      </c>
      <c r="D31" s="51">
        <f>IF(COUNT(Assessment!F43,Assessment!F44)=0,"",AVERAGE(Assessment!F43,Assessment!F44))</f>
        <v/>
      </c>
      <c r="E31" s="52">
        <f>IF(D31="","",IF(D31&gt;=4.5,"Optimized",IF(D31&gt;=3.5,"Managed",IF(D31&gt;=2.5,"Defined",IF(D31&gt;=1.5,"Repeatable","Initial")))))</f>
        <v/>
      </c>
      <c r="F31" s="52">
        <f>IF(D31="","",IF(D31&gt;=3,"✓ Pass","✗ Below Target"))</f>
        <v/>
      </c>
    </row>
    <row r="32">
      <c r="A32" s="50" t="inlineStr">
        <is>
          <t>DEBMM Core</t>
        </is>
      </c>
      <c r="B32" s="50" t="inlineStr">
        <is>
          <t>Advanced</t>
        </is>
      </c>
      <c r="C32" s="69" t="inlineStr">
        <is>
          <t>External Validation</t>
        </is>
      </c>
      <c r="D32" s="51">
        <f>IF(COUNT(Assessment!F45)=0,"",AVERAGE(Assessment!F45))</f>
        <v/>
      </c>
      <c r="E32" s="52">
        <f>IF(D32="","",IF(D32&gt;=4.5,"Optimized",IF(D32&gt;=3.5,"Managed",IF(D32&gt;=2.5,"Defined",IF(D32&gt;=1.5,"Repeatable","Initial")))))</f>
        <v/>
      </c>
      <c r="F32" s="52">
        <f>IF(D32="","",IF(D32&gt;=3,"✓ Pass","✗ Below Target"))</f>
        <v/>
      </c>
    </row>
    <row r="33">
      <c r="A33" s="50" t="inlineStr">
        <is>
          <t>DEBMM Core</t>
        </is>
      </c>
      <c r="B33" s="50" t="inlineStr">
        <is>
          <t>Advanced</t>
        </is>
      </c>
      <c r="C33" s="69" t="inlineStr">
        <is>
          <t>Advanced TTP Coverage</t>
        </is>
      </c>
      <c r="D33" s="51">
        <f>IF(COUNT(Assessment!F46,Assessment!F47)=0,"",AVERAGE(Assessment!F46,Assessment!F47))</f>
        <v/>
      </c>
      <c r="E33" s="52">
        <f>IF(D33="","",IF(D33&gt;=4.5,"Optimized",IF(D33&gt;=3.5,"Managed",IF(D33&gt;=2.5,"Defined",IF(D33&gt;=1.5,"Repeatable","Initial")))))</f>
        <v/>
      </c>
      <c r="F33" s="52">
        <f>IF(D33="","",IF(D33&gt;=3,"✓ Pass","✗ Below Target"))</f>
        <v/>
      </c>
    </row>
    <row r="34">
      <c r="A34" s="50" t="inlineStr">
        <is>
          <t>DEBMM Core</t>
        </is>
      </c>
      <c r="B34" s="50" t="inlineStr">
        <is>
          <t>Expert</t>
        </is>
      </c>
      <c r="C34" s="69" t="inlineStr">
        <is>
          <t>Threat Hunting in Telemetry</t>
        </is>
      </c>
      <c r="D34" s="51">
        <f>IF(COUNT(Assessment!F50,Assessment!F51,Assessment!F52)=0,"",AVERAGE(Assessment!F50,Assessment!F51,Assessment!F52))</f>
        <v/>
      </c>
      <c r="E34" s="52">
        <f>IF(D34="","",IF(D34&gt;=4.5,"Optimized",IF(D34&gt;=3.5,"Managed",IF(D34&gt;=2.5,"Defined",IF(D34&gt;=1.5,"Repeatable","Initial")))))</f>
        <v/>
      </c>
      <c r="F34" s="52">
        <f>IF(D34="","",IF(D34&gt;=3,"✓ Pass","✗ Below Target"))</f>
        <v/>
      </c>
    </row>
    <row r="35">
      <c r="A35" s="50" t="inlineStr">
        <is>
          <t>DEBMM Core</t>
        </is>
      </c>
      <c r="B35" s="50" t="inlineStr">
        <is>
          <t>Expert</t>
        </is>
      </c>
      <c r="C35" s="69" t="inlineStr">
        <is>
          <t>Automation and Continuous Improvement</t>
        </is>
      </c>
      <c r="D35" s="51">
        <f>IF(COUNT(Assessment!F53,Assessment!F54)=0,"",AVERAGE(Assessment!F53,Assessment!F54))</f>
        <v/>
      </c>
      <c r="E35" s="52">
        <f>IF(D35="","",IF(D35&gt;=4.5,"Optimized",IF(D35&gt;=3.5,"Managed",IF(D35&gt;=2.5,"Defined",IF(D35&gt;=1.5,"Repeatable","Initial")))))</f>
        <v/>
      </c>
      <c r="F35" s="52">
        <f>IF(D35="","",IF(D35&gt;=3,"✓ Pass","✗ Below Target"))</f>
        <v/>
      </c>
    </row>
    <row r="36">
      <c r="A36" s="50" t="inlineStr">
        <is>
          <t>Enrichment</t>
        </is>
      </c>
      <c r="B36" s="50" t="inlineStr">
        <is>
          <t>People &amp; Organization</t>
        </is>
      </c>
      <c r="C36" s="69" t="inlineStr">
        <is>
          <t>Team Structure and Dedicated Roles</t>
        </is>
      </c>
      <c r="D36" s="51">
        <f>IF(COUNT(Assessment!F61)=0,"",AVERAGE(Assessment!F61))</f>
        <v/>
      </c>
      <c r="E36" s="52">
        <f>IF(D36="","",IF(D36&gt;=4.5,"Optimized",IF(D36&gt;=3.5,"Managed",IF(D36&gt;=2.5,"Defined",IF(D36&gt;=1.5,"Repeatable","Initial")))))</f>
        <v/>
      </c>
      <c r="F36" s="52">
        <f>IF(D36="","",IF(D36&gt;=3,"✓ Pass","✗ Below Target"))</f>
        <v/>
      </c>
    </row>
    <row r="37">
      <c r="A37" s="50" t="inlineStr">
        <is>
          <t>Enrichment</t>
        </is>
      </c>
      <c r="B37" s="50" t="inlineStr">
        <is>
          <t>People &amp; Organization</t>
        </is>
      </c>
      <c r="C37" s="69" t="inlineStr">
        <is>
          <t>Skills Development and Training</t>
        </is>
      </c>
      <c r="D37" s="51">
        <f>IF(COUNT(Assessment!F62)=0,"",AVERAGE(Assessment!F62))</f>
        <v/>
      </c>
      <c r="E37" s="52">
        <f>IF(D37="","",IF(D37&gt;=4.5,"Optimized",IF(D37&gt;=3.5,"Managed",IF(D37&gt;=2.5,"Defined",IF(D37&gt;=1.5,"Repeatable","Initial")))))</f>
        <v/>
      </c>
      <c r="F37" s="52">
        <f>IF(D37="","",IF(D37&gt;=3,"✓ Pass","✗ Below Target"))</f>
        <v/>
      </c>
    </row>
    <row r="38">
      <c r="A38" s="50" t="inlineStr">
        <is>
          <t>Enrichment</t>
        </is>
      </c>
      <c r="B38" s="50" t="inlineStr">
        <is>
          <t>People &amp; Organization</t>
        </is>
      </c>
      <c r="C38" s="69" t="inlineStr">
        <is>
          <t>Leadership Commitment and Executive Sponsorship</t>
        </is>
      </c>
      <c r="D38" s="51">
        <f>IF(COUNT(Assessment!F63,Assessment!F64,Assessment!F65)=0,"",AVERAGE(Assessment!F63,Assessment!F64,Assessment!F65))</f>
        <v/>
      </c>
      <c r="E38" s="52">
        <f>IF(D38="","",IF(D38&gt;=4.5,"Optimized",IF(D38&gt;=3.5,"Managed",IF(D38&gt;=2.5,"Defined",IF(D38&gt;=1.5,"Repeatable","Initial")))))</f>
        <v/>
      </c>
      <c r="F38" s="52">
        <f>IF(D38="","",IF(D38&gt;=3,"✓ Pass","✗ Below Target"))</f>
        <v/>
      </c>
    </row>
    <row r="39">
      <c r="A39" s="50" t="inlineStr">
        <is>
          <t>Enrichment</t>
        </is>
      </c>
      <c r="B39" s="50" t="inlineStr">
        <is>
          <t>Process &amp; Governance</t>
        </is>
      </c>
      <c r="C39" s="69" t="inlineStr">
        <is>
          <t>Detection Lifecycle Workflow</t>
        </is>
      </c>
      <c r="D39" s="51">
        <f>IF(COUNT(Assessment!F68)=0,"",AVERAGE(Assessment!F68))</f>
        <v/>
      </c>
      <c r="E39" s="52">
        <f>IF(D39="","",IF(D39&gt;=4.5,"Optimized",IF(D39&gt;=3.5,"Managed",IF(D39&gt;=2.5,"Defined",IF(D39&gt;=1.5,"Repeatable","Initial")))))</f>
        <v/>
      </c>
      <c r="F39" s="52">
        <f>IF(D39="","",IF(D39&gt;=3,"✓ Pass","✗ Below Target"))</f>
        <v/>
      </c>
    </row>
    <row r="40">
      <c r="A40" s="50" t="inlineStr">
        <is>
          <t>Enrichment</t>
        </is>
      </c>
      <c r="B40" s="50" t="inlineStr">
        <is>
          <t>Process &amp; Governance</t>
        </is>
      </c>
      <c r="C40" s="69" t="inlineStr">
        <is>
          <t>Metrics and KPI Tracking</t>
        </is>
      </c>
      <c r="D40" s="51">
        <f>IF(COUNT(Assessment!F69,Assessment!F70)=0,"",AVERAGE(Assessment!F69,Assessment!F70))</f>
        <v/>
      </c>
      <c r="E40" s="52">
        <f>IF(D40="","",IF(D40&gt;=4.5,"Optimized",IF(D40&gt;=3.5,"Managed",IF(D40&gt;=2.5,"Defined",IF(D40&gt;=1.5,"Repeatable","Initial")))))</f>
        <v/>
      </c>
      <c r="F40" s="52">
        <f>IF(D40="","",IF(D40&gt;=3,"✓ Pass","✗ Below Target"))</f>
        <v/>
      </c>
    </row>
    <row r="41">
      <c r="A41" s="50" t="inlineStr">
        <is>
          <t>Enrichment</t>
        </is>
      </c>
      <c r="B41" s="50" t="inlineStr">
        <is>
          <t>Process &amp; Governance</t>
        </is>
      </c>
      <c r="C41" s="69" t="inlineStr">
        <is>
          <t>Cross-Team Collaboration</t>
        </is>
      </c>
      <c r="D41" s="51">
        <f>IF(COUNT(Assessment!F71)=0,"",AVERAGE(Assessment!F71))</f>
        <v/>
      </c>
      <c r="E41" s="52">
        <f>IF(D41="","",IF(D41&gt;=4.5,"Optimized",IF(D41&gt;=3.5,"Managed",IF(D41&gt;=2.5,"Defined",IF(D41&gt;=1.5,"Repeatable","Initial")))))</f>
        <v/>
      </c>
      <c r="F41" s="52">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2026-02-27T01:36:04Z</dcterms:created>
  <dcterms:modified xsi:type="dcterms:W3CDTF">2026-02-27T01:36:04Z</dcterms:modified>
</cp:coreProperties>
</file>