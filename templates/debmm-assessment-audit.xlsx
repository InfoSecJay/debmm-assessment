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Assessment" sheetId="2" state="visible" r:id="rId2"/>
    <sheet name="Results Dashboard" sheetId="3" state="visible" r:id="rId3"/>
    <sheet name="Tier Scores Chart" sheetId="4" state="visible" r:id="rId4"/>
    <sheet name="Readiness Chart" sheetId="5" state="visible" r:id="rId5"/>
    <sheet name="Rubric Reference" sheetId="6" state="visible" r:id="rId6"/>
    <sheet name="Report Data"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Aptos"/>
      <b val="1"/>
      <color rgb="00FFFFFF"/>
      <sz val="20"/>
    </font>
    <font>
      <name val="Aptos"/>
      <i val="1"/>
      <color rgb="0093C5FD"/>
      <sz val="10"/>
    </font>
    <font>
      <name val="Aptos"/>
      <b val="1"/>
      <color rgb="001B2A4A"/>
      <sz val="12"/>
    </font>
    <font>
      <name val="Aptos"/>
      <color rgb="001E293B"/>
      <sz val="10.5"/>
    </font>
    <font>
      <name val="Aptos"/>
      <b val="1"/>
      <color rgb="001E293B"/>
      <sz val="10.5"/>
    </font>
    <font>
      <name val="Aptos"/>
      <b val="1"/>
      <color rgb="00115E60"/>
      <sz val="10.5"/>
    </font>
    <font>
      <name val="Aptos"/>
      <i val="1"/>
      <color rgb="00475569"/>
      <sz val="9.5"/>
    </font>
    <font>
      <name val="Aptos"/>
      <b val="1"/>
      <color rgb="00FFFFFF"/>
      <sz val="10"/>
    </font>
    <font>
      <name val="Aptos"/>
      <b val="1"/>
      <color rgb="00FFFFFF"/>
      <sz val="12"/>
    </font>
    <font>
      <name val="Aptos"/>
      <color rgb="00475569"/>
      <sz val="9.5"/>
    </font>
    <font>
      <name val="Aptos"/>
      <b val="1"/>
      <color rgb="001E293B"/>
      <sz val="11"/>
    </font>
    <font>
      <name val="Aptos"/>
      <b val="1"/>
      <color rgb="00115E60"/>
      <sz val="12"/>
    </font>
    <font>
      <name val="Aptos"/>
      <b val="1"/>
      <color rgb="002D3E50"/>
      <sz val="10"/>
    </font>
    <font>
      <name val="Aptos"/>
      <b val="1"/>
      <color rgb="001B2A4A"/>
      <sz val="28"/>
    </font>
    <font>
      <name val="Aptos"/>
      <b val="1"/>
      <color rgb="001B2A4A"/>
      <sz val="16"/>
    </font>
    <font>
      <name val="Aptos"/>
      <i val="1"/>
      <color rgb="00475569"/>
      <sz val="10.5"/>
    </font>
    <font>
      <name val="Aptos"/>
      <b val="1"/>
      <color rgb="001E293B"/>
      <sz val="10"/>
    </font>
  </fonts>
  <fills count="17">
    <fill>
      <patternFill/>
    </fill>
    <fill>
      <patternFill patternType="gray125"/>
    </fill>
    <fill>
      <patternFill patternType="solid">
        <fgColor rgb="000F1D32"/>
      </patternFill>
    </fill>
    <fill>
      <patternFill patternType="solid">
        <fgColor rgb="001B2A4A"/>
      </patternFill>
    </fill>
    <fill>
      <patternFill patternType="solid">
        <fgColor rgb="00EBF4FF"/>
      </patternFill>
    </fill>
    <fill>
      <patternFill patternType="solid">
        <fgColor rgb="00E6F7F7"/>
      </patternFill>
    </fill>
    <fill>
      <patternFill patternType="solid">
        <fgColor rgb="00FFFBEB"/>
      </patternFill>
    </fill>
    <fill>
      <patternFill patternType="solid">
        <fgColor rgb="002D3E50"/>
      </patternFill>
    </fill>
    <fill>
      <patternFill patternType="solid">
        <fgColor rgb="00FFFFFF"/>
      </patternFill>
    </fill>
    <fill>
      <patternFill patternType="solid">
        <fgColor rgb="00FAFBFC"/>
      </patternFill>
    </fill>
    <fill>
      <patternFill patternType="solid">
        <fgColor rgb="00F1F5F9"/>
      </patternFill>
    </fill>
    <fill>
      <patternFill patternType="solid">
        <fgColor rgb="000D7377"/>
      </patternFill>
    </fill>
    <fill>
      <patternFill patternType="solid">
        <fgColor rgb="00FFF1F2"/>
      </patternFill>
    </fill>
    <fill>
      <patternFill patternType="solid">
        <fgColor rgb="00FFF7ED"/>
      </patternFill>
    </fill>
    <fill>
      <patternFill patternType="solid">
        <fgColor rgb="00FEFCE8"/>
      </patternFill>
    </fill>
    <fill>
      <patternFill patternType="solid">
        <fgColor rgb="00F0FDF4"/>
      </patternFill>
    </fill>
    <fill>
      <patternFill patternType="solid">
        <fgColor rgb="00ECFDF5"/>
      </patternFill>
    </fill>
  </fills>
  <borders count="6">
    <border>
      <left/>
      <right/>
      <top/>
      <bottom/>
      <diagonal/>
    </border>
    <border>
      <left style="medium">
        <color rgb="003B82F6"/>
      </left>
    </border>
    <border>
      <left style="medium">
        <color rgb="005EEAD4"/>
      </left>
    </border>
    <border>
      <left style="thin">
        <color rgb="00F59E0B"/>
      </left>
      <right style="thin">
        <color rgb="00F59E0B"/>
      </right>
      <top style="thin">
        <color rgb="00F59E0B"/>
      </top>
      <bottom style="thin">
        <color rgb="00F59E0B"/>
      </bottom>
    </border>
    <border>
      <left style="thin">
        <color rgb="00E2E8F0"/>
      </left>
      <right style="thin">
        <color rgb="00E2E8F0"/>
      </right>
      <top style="thin">
        <color rgb="00E2E8F0"/>
      </top>
      <bottom style="thin">
        <color rgb="00E2E8F0"/>
      </bottom>
    </border>
    <border>
      <bottom style="thin">
        <color rgb="00E2E8F0"/>
      </bottom>
    </border>
  </borders>
  <cellStyleXfs count="1">
    <xf numFmtId="0" fontId="0" fillId="0" borderId="0"/>
  </cellStyleXfs>
  <cellXfs count="76">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3" borderId="0" applyAlignment="1" pivotButton="0" quotePrefix="0" xfId="0">
      <alignment horizontal="left" vertical="center"/>
    </xf>
    <xf numFmtId="0" fontId="0" fillId="3" borderId="0" pivotButton="0" quotePrefix="0" xfId="0"/>
    <xf numFmtId="0" fontId="3" fillId="4" borderId="1" applyAlignment="1" pivotButton="0" quotePrefix="0" xfId="0">
      <alignment horizontal="left" vertical="center" wrapText="1"/>
    </xf>
    <xf numFmtId="0" fontId="0" fillId="4" borderId="0" pivotButton="0" quotePrefix="0" xfId="0"/>
    <xf numFmtId="0" fontId="4" fillId="0" borderId="0" applyAlignment="1" pivotButton="0" quotePrefix="0" xfId="0">
      <alignment horizontal="left" vertical="top" wrapText="1"/>
    </xf>
    <xf numFmtId="0" fontId="5" fillId="4" borderId="1" applyAlignment="1" pivotButton="0" quotePrefix="0" xfId="0">
      <alignment horizontal="left" vertical="center" wrapText="1"/>
    </xf>
    <xf numFmtId="0" fontId="6" fillId="5" borderId="2" applyAlignment="1" pivotButton="0" quotePrefix="0" xfId="0">
      <alignment horizontal="left" vertical="center" wrapText="1"/>
    </xf>
    <xf numFmtId="0" fontId="5" fillId="0" borderId="0" applyAlignment="1" pivotButton="0" quotePrefix="0" xfId="0">
      <alignment horizontal="right" vertical="center" wrapText="1"/>
    </xf>
    <xf numFmtId="0" fontId="4" fillId="6" borderId="3" applyAlignment="1" pivotButton="0" quotePrefix="0" xfId="0">
      <alignment horizontal="left" vertical="center" wrapText="1"/>
    </xf>
    <xf numFmtId="0" fontId="0" fillId="6" borderId="3" pivotButton="0" quotePrefix="0" xfId="0"/>
    <xf numFmtId="0" fontId="7" fillId="4" borderId="0" applyAlignment="1" pivotButton="0" quotePrefix="0" xfId="0">
      <alignment horizontal="left" vertical="center" wrapText="1"/>
    </xf>
    <xf numFmtId="0" fontId="8" fillId="7" borderId="4" applyAlignment="1" pivotButton="0" quotePrefix="0" xfId="0">
      <alignment horizontal="center" vertical="center" wrapText="1"/>
    </xf>
    <xf numFmtId="0" fontId="9" fillId="3" borderId="0" applyAlignment="1" pivotButton="0" quotePrefix="0" xfId="0">
      <alignment horizontal="left" vertical="center"/>
    </xf>
    <xf numFmtId="0" fontId="10" fillId="8" borderId="5" applyAlignment="1" pivotButton="0" quotePrefix="0" xfId="0">
      <alignment horizontal="center" vertical="center" wrapText="1"/>
    </xf>
    <xf numFmtId="0" fontId="5" fillId="8" borderId="5" applyAlignment="1" pivotButton="0" quotePrefix="0" xfId="0">
      <alignment horizontal="left" vertical="top" wrapText="1"/>
    </xf>
    <xf numFmtId="0" fontId="4" fillId="8" borderId="5" applyAlignment="1" pivotButton="0" quotePrefix="0" xfId="0">
      <alignment horizontal="left" vertical="top" wrapText="1"/>
    </xf>
    <xf numFmtId="0" fontId="11" fillId="6" borderId="3" applyAlignment="1" pivotButton="0" quotePrefix="0" xfId="0">
      <alignment horizontal="center" vertical="center" wrapText="1"/>
    </xf>
    <xf numFmtId="164" fontId="5" fillId="8" borderId="5" applyAlignment="1" pivotButton="0" quotePrefix="0" xfId="0">
      <alignment horizontal="center" vertical="center" wrapText="1"/>
    </xf>
    <xf numFmtId="0" fontId="4" fillId="6" borderId="3" applyAlignment="1" pivotButton="0" quotePrefix="0" xfId="0">
      <alignment horizontal="left" vertical="top" wrapText="1"/>
    </xf>
    <xf numFmtId="0" fontId="10" fillId="9" borderId="5" applyAlignment="1" pivotButton="0" quotePrefix="0" xfId="0">
      <alignment horizontal="center" vertical="center" wrapText="1"/>
    </xf>
    <xf numFmtId="0" fontId="10" fillId="9" borderId="5" applyAlignment="1" pivotButton="0" quotePrefix="0" xfId="0">
      <alignment horizontal="left" vertical="top" wrapText="1"/>
    </xf>
    <xf numFmtId="0" fontId="4" fillId="9" borderId="5" applyAlignment="1" pivotButton="0" quotePrefix="0" xfId="0">
      <alignment horizontal="left" vertical="top" wrapText="1"/>
    </xf>
    <xf numFmtId="164" fontId="5" fillId="9" borderId="5" applyAlignment="1" pivotButton="0" quotePrefix="0" xfId="0">
      <alignment horizontal="center" vertical="center" wrapText="1"/>
    </xf>
    <xf numFmtId="0" fontId="5" fillId="9" borderId="5" applyAlignment="1" pivotButton="0" quotePrefix="0" xfId="0">
      <alignment horizontal="left" vertical="top" wrapText="1"/>
    </xf>
    <xf numFmtId="0" fontId="10" fillId="8" borderId="5" applyAlignment="1" pivotButton="0" quotePrefix="0" xfId="0">
      <alignment horizontal="left" vertical="top" wrapText="1"/>
    </xf>
    <xf numFmtId="0" fontId="0" fillId="10" borderId="0" pivotButton="0" quotePrefix="0" xfId="0"/>
    <xf numFmtId="0" fontId="12" fillId="5" borderId="2" applyAlignment="1" pivotButton="0" quotePrefix="0" xfId="0">
      <alignment horizontal="left" vertical="center" wrapText="1"/>
    </xf>
    <xf numFmtId="0" fontId="0" fillId="5" borderId="0" pivotButton="0" quotePrefix="0" xfId="0"/>
    <xf numFmtId="0" fontId="7" fillId="5" borderId="0" applyAlignment="1" pivotButton="0" quotePrefix="0" xfId="0">
      <alignment horizontal="left" vertical="center" wrapText="1"/>
    </xf>
    <xf numFmtId="0" fontId="8" fillId="11" borderId="4" applyAlignment="1" pivotButton="0" quotePrefix="0" xfId="0">
      <alignment horizontal="center" vertical="center" wrapText="1"/>
    </xf>
    <xf numFmtId="0" fontId="9" fillId="11" borderId="0" applyAlignment="1" pivotButton="0" quotePrefix="0" xfId="0">
      <alignment horizontal="left" vertical="center"/>
    </xf>
    <xf numFmtId="0" fontId="0" fillId="11" borderId="0" pivotButton="0" quotePrefix="0" xfId="0"/>
    <xf numFmtId="0" fontId="10" fillId="5" borderId="5" applyAlignment="1" pivotButton="0" quotePrefix="0" xfId="0">
      <alignment horizontal="center" vertical="center" wrapText="1"/>
    </xf>
    <xf numFmtId="0" fontId="5" fillId="5" borderId="5" applyAlignment="1" pivotButton="0" quotePrefix="0" xfId="0">
      <alignment horizontal="left" vertical="top" wrapText="1"/>
    </xf>
    <xf numFmtId="0" fontId="4" fillId="5" borderId="5" applyAlignment="1" pivotButton="0" quotePrefix="0" xfId="0">
      <alignment horizontal="left" vertical="top" wrapText="1"/>
    </xf>
    <xf numFmtId="164" fontId="5" fillId="5" borderId="5" applyAlignment="1" pivotButton="0" quotePrefix="0" xfId="0">
      <alignment horizontal="center" vertical="center" wrapText="1"/>
    </xf>
    <xf numFmtId="0" fontId="10" fillId="5" borderId="5" applyAlignment="1" pivotButton="0" quotePrefix="0" xfId="0">
      <alignment horizontal="left" vertical="top" wrapText="1"/>
    </xf>
    <xf numFmtId="0" fontId="13" fillId="4" borderId="4" applyAlignment="1" pivotButton="0" quotePrefix="0" xfId="0">
      <alignment horizontal="center" vertical="center" wrapText="1"/>
    </xf>
    <xf numFmtId="0" fontId="0" fillId="4" borderId="4" pivotButton="0" quotePrefix="0" xfId="0"/>
    <xf numFmtId="49" fontId="14" fillId="8" borderId="4" applyAlignment="1" pivotButton="0" quotePrefix="0" xfId="0">
      <alignment horizontal="center" vertical="center" wrapText="1"/>
    </xf>
    <xf numFmtId="0" fontId="0" fillId="0" borderId="4" pivotButton="0" quotePrefix="0" xfId="0"/>
    <xf numFmtId="0" fontId="15" fillId="8" borderId="4" applyAlignment="1" pivotButton="0" quotePrefix="0" xfId="0">
      <alignment horizontal="center" vertical="center" wrapText="1"/>
    </xf>
    <xf numFmtId="0" fontId="16" fillId="10" borderId="0" applyAlignment="1" pivotButton="0" quotePrefix="0" xfId="0">
      <alignment horizontal="left" vertical="top" wrapText="1"/>
    </xf>
    <xf numFmtId="0" fontId="5" fillId="4" borderId="4" applyAlignment="1" pivotButton="0" quotePrefix="0" xfId="0">
      <alignment horizontal="left" vertical="center" wrapText="1"/>
    </xf>
    <xf numFmtId="2" fontId="5" fillId="4" borderId="4" applyAlignment="1" pivotButton="0" quotePrefix="0" xfId="0">
      <alignment horizontal="center" vertical="center" wrapText="1"/>
    </xf>
    <xf numFmtId="0" fontId="5" fillId="4" borderId="4" applyAlignment="1" pivotButton="0" quotePrefix="0" xfId="0">
      <alignment horizontal="center" vertical="center" wrapText="1"/>
    </xf>
    <xf numFmtId="0" fontId="4" fillId="8" borderId="5" applyAlignment="1" pivotButton="0" quotePrefix="0" xfId="0">
      <alignment horizontal="left" vertical="center" wrapText="1"/>
    </xf>
    <xf numFmtId="2" fontId="5" fillId="8" borderId="5" applyAlignment="1" pivotButton="0" quotePrefix="0" xfId="0">
      <alignment horizontal="center" vertical="center" wrapText="1"/>
    </xf>
    <xf numFmtId="0" fontId="4" fillId="8" borderId="5" applyAlignment="1" pivotButton="0" quotePrefix="0" xfId="0">
      <alignment horizontal="center" vertical="center" wrapText="1"/>
    </xf>
    <xf numFmtId="0" fontId="5" fillId="5" borderId="4" applyAlignment="1" pivotButton="0" quotePrefix="0" xfId="0">
      <alignment horizontal="left" vertical="center" wrapText="1"/>
    </xf>
    <xf numFmtId="2" fontId="5" fillId="5" borderId="4" applyAlignment="1" pivotButton="0" quotePrefix="0" xfId="0">
      <alignment horizontal="center" vertical="center" wrapText="1"/>
    </xf>
    <xf numFmtId="0" fontId="5" fillId="5" borderId="4" applyAlignment="1" pivotButton="0" quotePrefix="0" xfId="0">
      <alignment horizontal="center" vertical="center" wrapText="1"/>
    </xf>
    <xf numFmtId="2" fontId="5" fillId="8" borderId="4" applyAlignment="1" pivotButton="0" quotePrefix="0" xfId="0">
      <alignment horizontal="center" vertical="center" wrapText="1"/>
    </xf>
    <xf numFmtId="0" fontId="2" fillId="11" borderId="0" applyAlignment="1" pivotButton="0" quotePrefix="0" xfId="0">
      <alignment horizontal="left" vertical="center"/>
    </xf>
    <xf numFmtId="0" fontId="7" fillId="4" borderId="0" applyAlignment="1" pivotButton="0" quotePrefix="0" xfId="0">
      <alignment horizontal="left" vertical="top" wrapText="1"/>
    </xf>
    <xf numFmtId="0" fontId="17" fillId="12" borderId="4" applyAlignment="1" pivotButton="0" quotePrefix="0" xfId="0">
      <alignment horizontal="center" vertical="center" wrapText="1"/>
    </xf>
    <xf numFmtId="0" fontId="4" fillId="12" borderId="4" applyAlignment="1" pivotButton="0" quotePrefix="0" xfId="0">
      <alignment horizontal="left" vertical="top" wrapText="1"/>
    </xf>
    <xf numFmtId="0" fontId="17" fillId="13" borderId="4" applyAlignment="1" pivotButton="0" quotePrefix="0" xfId="0">
      <alignment horizontal="center" vertical="center" wrapText="1"/>
    </xf>
    <xf numFmtId="0" fontId="4" fillId="13" borderId="4" applyAlignment="1" pivotButton="0" quotePrefix="0" xfId="0">
      <alignment horizontal="left" vertical="top" wrapText="1"/>
    </xf>
    <xf numFmtId="0" fontId="17" fillId="14" borderId="4" applyAlignment="1" pivotButton="0" quotePrefix="0" xfId="0">
      <alignment horizontal="center" vertical="center" wrapText="1"/>
    </xf>
    <xf numFmtId="0" fontId="4" fillId="14" borderId="4" applyAlignment="1" pivotButton="0" quotePrefix="0" xfId="0">
      <alignment horizontal="left" vertical="top" wrapText="1"/>
    </xf>
    <xf numFmtId="0" fontId="17" fillId="15" borderId="4" applyAlignment="1" pivotButton="0" quotePrefix="0" xfId="0">
      <alignment horizontal="center" vertical="center" wrapText="1"/>
    </xf>
    <xf numFmtId="0" fontId="4" fillId="15" borderId="4" applyAlignment="1" pivotButton="0" quotePrefix="0" xfId="0">
      <alignment horizontal="left" vertical="top" wrapText="1"/>
    </xf>
    <xf numFmtId="0" fontId="17" fillId="16" borderId="4" applyAlignment="1" pivotButton="0" quotePrefix="0" xfId="0">
      <alignment horizontal="center" vertical="center" wrapText="1"/>
    </xf>
    <xf numFmtId="0" fontId="4" fillId="16" borderId="4" applyAlignment="1" pivotButton="0" quotePrefix="0" xfId="0">
      <alignment horizontal="left" vertical="top" wrapText="1"/>
    </xf>
    <xf numFmtId="0" fontId="7" fillId="5" borderId="0" applyAlignment="1" pivotButton="0" quotePrefix="0" xfId="0">
      <alignment horizontal="left" vertical="top" wrapText="1"/>
    </xf>
    <xf numFmtId="0" fontId="8" fillId="7" borderId="4" applyAlignment="1" pivotButton="0" quotePrefix="0" xfId="0">
      <alignment horizontal="left" vertical="center" wrapText="1"/>
    </xf>
    <xf numFmtId="0" fontId="5" fillId="8" borderId="5" applyAlignment="1" pivotButton="0" quotePrefix="0" xfId="0">
      <alignment horizontal="left" vertical="center" wrapText="1"/>
    </xf>
    <xf numFmtId="2" fontId="4" fillId="8" borderId="5" applyAlignment="1" pivotButton="0" quotePrefix="0" xfId="0">
      <alignment horizontal="left" vertical="center" wrapText="1"/>
    </xf>
    <xf numFmtId="0" fontId="8" fillId="3" borderId="4" applyAlignment="1" pivotButton="0" quotePrefix="0" xfId="0">
      <alignment horizontal="center" vertical="center" wrapText="1"/>
    </xf>
    <xf numFmtId="0" fontId="5" fillId="8" borderId="4" applyAlignment="1" pivotButton="0" quotePrefix="0" xfId="0">
      <alignment horizontal="center" vertical="center" wrapText="1"/>
    </xf>
    <xf numFmtId="0" fontId="4" fillId="8" borderId="4" applyAlignment="1" pivotButton="0" quotePrefix="0" xfId="0">
      <alignment horizontal="left" vertical="center" wrapText="1"/>
    </xf>
    <xf numFmtId="0" fontId="4" fillId="8" borderId="4" applyAlignment="1" pivotButton="0" quotePrefix="0" xfId="0">
      <alignment horizontal="center" vertical="center" wrapText="1"/>
    </xf>
  </cellXfs>
  <cellStyles count="1">
    <cellStyle name="Normal" xfId="0" builtinId="0" hidden="0"/>
  </cellStyles>
  <dxfs count="4">
    <dxf>
      <fill>
        <patternFill patternType="solid">
          <fgColor rgb="00FEE2E2"/>
        </patternFill>
      </fill>
    </dxf>
    <dxf>
      <fill>
        <patternFill patternType="solid">
          <fgColor rgb="00FED7AA"/>
        </patternFill>
      </fill>
    </dxf>
    <dxf>
      <fill>
        <patternFill patternType="solid">
          <fgColor rgb="00FEF3C7"/>
        </patternFill>
      </fill>
    </dxf>
    <dxf>
      <fill>
        <patternFill patternType="solid">
          <fgColor rgb="00D1FA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DEBMM Tier Scores</a:t>
            </a:r>
          </a:p>
        </rich>
      </tx>
    </title>
    <plotArea>
      <barChart>
        <barDir val="col"/>
        <grouping val="clustered"/>
        <ser>
          <idx val="0"/>
          <order val="0"/>
          <tx>
            <strRef>
              <f>'Tier Scores Chart'!C4</f>
            </strRef>
          </tx>
          <spPr>
            <a:ln>
              <a:prstDash val="solid"/>
            </a:ln>
          </spPr>
          <dPt>
            <idx val="0"/>
            <spPr>
              <a:solidFill>
                <a:srgbClr val="3B82F6"/>
              </a:solidFill>
              <a:ln>
                <a:prstDash val="solid"/>
              </a:ln>
            </spPr>
          </dPt>
          <dPt>
            <idx val="1"/>
            <spPr>
              <a:solidFill>
                <a:srgbClr val="3B82F6"/>
              </a:solidFill>
              <a:ln>
                <a:prstDash val="solid"/>
              </a:ln>
            </spPr>
          </dPt>
          <dPt>
            <idx val="2"/>
            <spPr>
              <a:solidFill>
                <a:srgbClr val="3B82F6"/>
              </a:solidFill>
              <a:ln>
                <a:prstDash val="solid"/>
              </a:ln>
            </spPr>
          </dPt>
          <dPt>
            <idx val="3"/>
            <spPr>
              <a:solidFill>
                <a:srgbClr val="3B82F6"/>
              </a:solidFill>
              <a:ln>
                <a:prstDash val="solid"/>
              </a:ln>
            </spPr>
          </dPt>
          <dPt>
            <idx val="4"/>
            <spPr>
              <a:solidFill>
                <a:srgbClr val="3B82F6"/>
              </a:solidFill>
              <a:ln>
                <a:prstDash val="solid"/>
              </a:ln>
            </spPr>
          </dPt>
          <cat>
            <numRef>
              <f>'Tier Scores Chart'!$B$5:$B$9</f>
            </numRef>
          </cat>
          <val>
            <numRef>
              <f>'Tier Scores Chart'!$C$5:$C$9</f>
            </numRef>
          </val>
        </ser>
        <gapWidth val="150"/>
        <axId val="10"/>
        <axId val="100"/>
      </barChart>
      <catAx>
        <axId val="10"/>
        <scaling>
          <orientation val="minMax"/>
        </scaling>
        <axPos val="l"/>
        <majorTickMark val="none"/>
        <minorTickMark val="none"/>
        <crossAx val="100"/>
        <lblOffset val="100"/>
      </catAx>
      <valAx>
        <axId val="100"/>
        <scaling>
          <orientation val="minMax"/>
          <max val="5"/>
          <min val="0"/>
        </scaling>
        <axPos val="l"/>
        <majorGridlines/>
        <title>
          <tx>
            <rich>
              <a:bodyPr/>
              <a:p>
                <a:pPr>
                  <a:defRPr/>
                </a:pPr>
                <a:r>
                  <a:t>Score (1—5)</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Organizational Readiness</a:t>
            </a:r>
          </a:p>
        </rich>
      </tx>
    </title>
    <plotArea>
      <barChart>
        <barDir val="col"/>
        <grouping val="clustered"/>
        <ser>
          <idx val="0"/>
          <order val="0"/>
          <tx>
            <strRef>
              <f>'Readiness Chart'!C4</f>
            </strRef>
          </tx>
          <spPr>
            <a:ln>
              <a:prstDash val="solid"/>
            </a:ln>
          </spPr>
          <dPt>
            <idx val="0"/>
            <spPr>
              <a:solidFill>
                <a:srgbClr val="0D7377"/>
              </a:solidFill>
              <a:ln>
                <a:prstDash val="solid"/>
              </a:ln>
            </spPr>
          </dPt>
          <dPt>
            <idx val="1"/>
            <spPr>
              <a:solidFill>
                <a:srgbClr val="0D7377"/>
              </a:solidFill>
              <a:ln>
                <a:prstDash val="solid"/>
              </a:ln>
            </spPr>
          </dPt>
          <cat>
            <numRef>
              <f>'Readiness Chart'!$B$5:$B$6</f>
            </numRef>
          </cat>
          <val>
            <numRef>
              <f>'Readiness Chart'!$C$5:$C$6</f>
            </numRef>
          </val>
        </ser>
        <gapWidth val="150"/>
        <axId val="10"/>
        <axId val="100"/>
      </barChart>
      <catAx>
        <axId val="10"/>
        <scaling>
          <orientation val="minMax"/>
        </scaling>
        <axPos val="l"/>
        <majorTickMark val="none"/>
        <minorTickMark val="none"/>
        <crossAx val="100"/>
        <lblOffset val="100"/>
      </catAx>
      <valAx>
        <axId val="100"/>
        <scaling>
          <orientation val="minMax"/>
          <max val="5"/>
          <min val="0"/>
        </scaling>
        <axPos val="l"/>
        <majorGridlines/>
        <title>
          <tx>
            <rich>
              <a:bodyPr/>
              <a:p>
                <a:pPr>
                  <a:defRPr/>
                </a:pPr>
                <a:r>
                  <a:t>Score (1—5)</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10</row>
      <rowOff>0</rowOff>
    </from>
    <ext cx="7920000" cy="50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7</row>
      <rowOff>0</rowOff>
    </from>
    <ext cx="648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B2A4A"/>
    <outlinePr summaryBelow="1" summaryRight="1"/>
    <pageSetUpPr/>
  </sheetPr>
  <dimension ref="A1:D52"/>
  <sheetViews>
    <sheetView workbookViewId="0">
      <selection activeCell="A1" sqref="A1"/>
    </sheetView>
  </sheetViews>
  <sheetFormatPr baseColWidth="8" defaultRowHeight="15"/>
  <cols>
    <col width="4" customWidth="1" min="1" max="1"/>
    <col width="45" customWidth="1" min="2" max="2"/>
    <col width="45" customWidth="1" min="3" max="3"/>
    <col width="4" customWidth="1" min="4" max="4"/>
  </cols>
  <sheetData>
    <row r="1" ht="56" customHeight="1">
      <c r="A1" s="1" t="inlineStr">
        <is>
          <t xml:space="preserve">  DEBMM Assessment Tool</t>
        </is>
      </c>
      <c r="B1" s="2" t="n"/>
      <c r="C1" s="2" t="n"/>
      <c r="D1" s="2" t="n"/>
    </row>
    <row r="2" ht="26" customHeight="1">
      <c r="A2" s="3" t="inlineStr">
        <is>
          <t xml:space="preserve">  Detection Engineering Behavior Maturity Model — Audit Assessment</t>
        </is>
      </c>
      <c r="B2" s="4" t="n"/>
      <c r="C2" s="4" t="n"/>
      <c r="D2" s="4" t="n"/>
    </row>
    <row r="4" ht="28" customHeight="1">
      <c r="B4" s="5" t="inlineStr">
        <is>
          <t>About This Assessment</t>
        </is>
      </c>
      <c r="C4" s="6" t="n"/>
    </row>
    <row r="5">
      <c r="B5" s="7" t="inlineStr">
        <is>
          <t>This spreadsheet assesses your detection engineering team's maturity using Elastic's Detection Engineering Behavior Maturity Model (DEBMM), enriched with organizational dimensions from detectionengineering.io.</t>
        </is>
      </c>
    </row>
    <row r="6">
      <c r="B6" s="7" t="inlineStr"/>
    </row>
    <row r="7">
      <c r="B7" s="7" t="inlineStr">
        <is>
          <t>It covers 21 criteria across 7 categories, with 41 dropdown questions total.</t>
        </is>
      </c>
    </row>
    <row r="8">
      <c r="B8" s="7" t="inlineStr">
        <is>
          <t>All questions use dropdowns (Yes/No or Scale 1—5). No free-text required.</t>
        </is>
      </c>
    </row>
    <row r="10" ht="28" customHeight="1">
      <c r="B10" s="5" t="inlineStr">
        <is>
          <t>How to Use</t>
        </is>
      </c>
      <c r="C10" s="6" t="n"/>
    </row>
    <row r="11">
      <c r="B11" s="7" t="inlineStr">
        <is>
          <t>1.  Go to the Assessment tab and fill in your organization details</t>
        </is>
      </c>
    </row>
    <row r="12">
      <c r="B12" s="7" t="inlineStr">
        <is>
          <t>2.  Answer each question using the dropdown menus in the amber column</t>
        </is>
      </c>
    </row>
    <row r="13">
      <c r="B13" s="7" t="inlineStr">
        <is>
          <t>3.  For Yes/No questions — select from the dropdown</t>
        </is>
      </c>
    </row>
    <row r="14">
      <c r="B14" s="7" t="inlineStr">
        <is>
          <t>4.  For Scale questions (1—5) — select your maturity rating</t>
        </is>
      </c>
    </row>
    <row r="15">
      <c r="B15" s="7" t="inlineStr">
        <is>
          <t>5.  Switch to the Results Dashboard tab to see scores calculated automatically</t>
        </is>
      </c>
    </row>
    <row r="17" ht="28" customHeight="1">
      <c r="B17" s="5" t="inlineStr">
        <is>
          <t>Understanding the Model</t>
        </is>
      </c>
      <c r="C17" s="6" t="n"/>
    </row>
    <row r="18" ht="24" customHeight="1">
      <c r="B18" s="8" t="inlineStr">
        <is>
          <t>DEBMM Core Tiers (Elastic)</t>
        </is>
      </c>
      <c r="C18" s="9" t="inlineStr">
        <is>
          <t>Supplementary Dimensions</t>
        </is>
      </c>
    </row>
    <row r="19">
      <c r="B19" s="7" t="inlineStr">
        <is>
          <t>Tier 0 — Foundation</t>
        </is>
      </c>
      <c r="C19" s="7" t="inlineStr">
        <is>
          <t>People &amp; Organization</t>
        </is>
      </c>
    </row>
    <row r="20">
      <c r="B20" s="7" t="inlineStr">
        <is>
          <t xml:space="preserve">    Rule development, maintenance, roadmaps, threat modeling</t>
        </is>
      </c>
      <c r="C20" s="7" t="inlineStr">
        <is>
          <t xml:space="preserve">    Team structure, training, leadership</t>
        </is>
      </c>
    </row>
    <row r="21">
      <c r="B21" s="7" t="inlineStr">
        <is>
          <t>Tier 1 — Basic</t>
        </is>
      </c>
      <c r="C21" s="7" t="inlineStr">
        <is>
          <t>Process &amp; Governance</t>
        </is>
      </c>
    </row>
    <row r="22">
      <c r="B22" s="7" t="inlineStr">
        <is>
          <t xml:space="preserve">    Baseline rules, telemetry, version control, testing</t>
        </is>
      </c>
      <c r="C22" s="7" t="inlineStr">
        <is>
          <t xml:space="preserve">    Lifecycle, metrics, collaboration</t>
        </is>
      </c>
    </row>
    <row r="23">
      <c r="B23" s="7" t="inlineStr">
        <is>
          <t>Tier 2 — Intermediate</t>
        </is>
      </c>
      <c r="C23" s="7" t="inlineStr"/>
    </row>
    <row r="24">
      <c r="B24" s="7" t="inlineStr">
        <is>
          <t xml:space="preserve">    FP reduction, gap analysis, internal validation</t>
        </is>
      </c>
      <c r="C24" s="7" t="inlineStr">
        <is>
          <t>These supplementary dimensions assess</t>
        </is>
      </c>
    </row>
    <row r="25">
      <c r="B25" s="7" t="inlineStr">
        <is>
          <t>Tier 3 — Advanced</t>
        </is>
      </c>
      <c r="C25" s="7" t="inlineStr">
        <is>
          <t>organizational readiness. They contribute</t>
        </is>
      </c>
    </row>
    <row r="26">
      <c r="B26" s="7" t="inlineStr">
        <is>
          <t xml:space="preserve">    FN triage, external validation, advanced TTP coverage</t>
        </is>
      </c>
      <c r="C26" s="7" t="inlineStr">
        <is>
          <t>to the overall score but do not affect</t>
        </is>
      </c>
    </row>
    <row r="27">
      <c r="B27" s="7" t="inlineStr">
        <is>
          <t>Tier 4 — Expert</t>
        </is>
      </c>
      <c r="C27" s="7" t="inlineStr">
        <is>
          <t>DEBMM tier determination.</t>
        </is>
      </c>
    </row>
    <row r="28">
      <c r="B28" s="7" t="inlineStr">
        <is>
          <t xml:space="preserve">    Threat hunting, automation, AI/LLM integration</t>
        </is>
      </c>
      <c r="C28" s="7" t="inlineStr"/>
    </row>
    <row r="30" ht="28" customHeight="1">
      <c r="B30" s="5" t="inlineStr">
        <is>
          <t>Maturity Levels</t>
        </is>
      </c>
      <c r="C30" s="6" t="n"/>
    </row>
    <row r="31">
      <c r="B31" s="7" t="inlineStr">
        <is>
          <t>Each criterion is scored on a 1—5 scale:</t>
        </is>
      </c>
    </row>
    <row r="32">
      <c r="B32" s="7" t="inlineStr"/>
    </row>
    <row r="33">
      <c r="B33" s="7" t="inlineStr">
        <is>
          <t xml:space="preserve">  1 — Initial          Minimal or no structured activity</t>
        </is>
      </c>
    </row>
    <row r="34">
      <c r="B34" s="7" t="inlineStr">
        <is>
          <t xml:space="preserve">  2 — Repeatable    Sporadic, inconsistent efforts</t>
        </is>
      </c>
    </row>
    <row r="35">
      <c r="B35" s="7" t="inlineStr">
        <is>
          <t xml:space="preserve">  3 — Defined         Regular, documented processes followed consistently</t>
        </is>
      </c>
    </row>
    <row r="36">
      <c r="B36" s="7" t="inlineStr">
        <is>
          <t xml:space="preserve">  4 — Managed       Comprehensive, well-integrated with measurable outcomes</t>
        </is>
      </c>
    </row>
    <row r="37">
      <c r="B37" s="7" t="inlineStr">
        <is>
          <t xml:space="preserve">  5 — Optimized     Fully automated, continuously improving</t>
        </is>
      </c>
    </row>
    <row r="39" ht="28" customHeight="1">
      <c r="B39" s="5" t="inlineStr">
        <is>
          <t>Tier Determination</t>
        </is>
      </c>
      <c r="C39" s="6" t="n"/>
    </row>
    <row r="40">
      <c r="B40" s="7" t="inlineStr">
        <is>
          <t>Your achieved tier is the highest tier where ALL criteria in that tier (and all lower tiers) score ≥ 3.0 (Defined level). This enforces the progressive nature of the model — you need solid foundations before claiming advanced maturity.</t>
        </is>
      </c>
    </row>
    <row r="41">
      <c r="B41" s="7" t="inlineStr"/>
    </row>
    <row r="42">
      <c r="B42" s="7" t="inlineStr">
        <is>
          <t>Enrichment dimensions (People &amp; Organization, Process &amp; Governance) contribute to the overall maturity score but are not part of the tier determination logic.</t>
        </is>
      </c>
    </row>
    <row r="44" ht="28" customHeight="1">
      <c r="B44" s="5" t="inlineStr">
        <is>
          <t>Scoring Paths</t>
        </is>
      </c>
      <c r="C44" s="6" t="n"/>
    </row>
    <row r="45">
      <c r="B45" s="7" t="inlineStr">
        <is>
          <t>1.  This Spreadsheet — Fill it out and scores calculate automatically in the Dashboard</t>
        </is>
      </c>
    </row>
    <row r="46">
      <c r="B46" s="7" t="inlineStr">
        <is>
          <t>2.  Python CLI — Export answers to YAML and run scorer/score.py for a detailed report</t>
        </is>
      </c>
    </row>
    <row r="47">
      <c r="B47" s="7" t="inlineStr">
        <is>
          <t>3.  LLM-Assisted — Run scorer/llm_scorer.py for AI-generated improvement recommendations</t>
        </is>
      </c>
    </row>
    <row r="49" ht="28" customHeight="1">
      <c r="B49" s="5" t="inlineStr">
        <is>
          <t>References</t>
        </is>
      </c>
      <c r="C49" s="6" t="n"/>
    </row>
    <row r="50">
      <c r="B50" s="7" t="inlineStr">
        <is>
          <t>Elastic DEBMM: https://www.elastic.co/security-labs/elastic-releases-debmm</t>
        </is>
      </c>
    </row>
    <row r="51">
      <c r="B51" s="7" t="inlineStr">
        <is>
          <t>Detection Engineering Maturity Matrix: https://detectionengineering.io/</t>
        </is>
      </c>
    </row>
    <row r="52">
      <c r="B52" s="7" t="inlineStr">
        <is>
          <t>MITRE ATT&amp;CK: https://attack.mitre.org/</t>
        </is>
      </c>
    </row>
  </sheetData>
  <mergeCells count="34">
    <mergeCell ref="B47:C47"/>
    <mergeCell ref="B7:C7"/>
    <mergeCell ref="B46:C46"/>
    <mergeCell ref="B31:C31"/>
    <mergeCell ref="B12:C12"/>
    <mergeCell ref="B39:C39"/>
    <mergeCell ref="B52:C52"/>
    <mergeCell ref="B11:C11"/>
    <mergeCell ref="B42:C42"/>
    <mergeCell ref="B14:C14"/>
    <mergeCell ref="B17:C17"/>
    <mergeCell ref="B8:C8"/>
    <mergeCell ref="B13:C13"/>
    <mergeCell ref="A1:D1"/>
    <mergeCell ref="B44:C44"/>
    <mergeCell ref="B34:C34"/>
    <mergeCell ref="B37:C37"/>
    <mergeCell ref="B10:C10"/>
    <mergeCell ref="B40:C40"/>
    <mergeCell ref="B49:C49"/>
    <mergeCell ref="B6:C6"/>
    <mergeCell ref="B30:C30"/>
    <mergeCell ref="B15:C15"/>
    <mergeCell ref="B33:C33"/>
    <mergeCell ref="B5:C5"/>
    <mergeCell ref="B51:C51"/>
    <mergeCell ref="B45:C45"/>
    <mergeCell ref="B36:C36"/>
    <mergeCell ref="B32:C32"/>
    <mergeCell ref="B50:C50"/>
    <mergeCell ref="A2:D2"/>
    <mergeCell ref="B41:C41"/>
    <mergeCell ref="B35:C35"/>
    <mergeCell ref="B4:C4"/>
  </mergeCells>
  <pageMargins left="0.75" right="0.75" top="1" bottom="1" header="0.5" footer="0.5"/>
</worksheet>
</file>

<file path=xl/worksheets/sheet2.xml><?xml version="1.0" encoding="utf-8"?>
<worksheet xmlns="http://schemas.openxmlformats.org/spreadsheetml/2006/main">
  <sheetPr>
    <tabColor rgb="003B82F6"/>
    <outlinePr summaryBelow="1" summaryRight="1"/>
    <pageSetUpPr/>
  </sheetPr>
  <dimension ref="A1:H71"/>
  <sheetViews>
    <sheetView workbookViewId="0">
      <pane ySplit="12" topLeftCell="A13" activePane="bottomLeft" state="frozen"/>
      <selection pane="bottomLeft" activeCell="A1" sqref="A1"/>
    </sheetView>
  </sheetViews>
  <sheetFormatPr baseColWidth="8" defaultRowHeight="15"/>
  <cols>
    <col width="2" customWidth="1" min="1" max="1"/>
    <col width="7" customWidth="1" min="2" max="2"/>
    <col width="26" customWidth="1" min="3" max="3"/>
    <col width="78" customWidth="1" min="4" max="4"/>
    <col width="14" customWidth="1" min="5" max="5"/>
    <col width="10" customWidth="1" min="6" max="6"/>
    <col width="45" customWidth="1" min="7" max="7"/>
    <col width="2" customWidth="1" min="8" max="8"/>
  </cols>
  <sheetData>
    <row r="1" ht="52" customHeight="1">
      <c r="A1" s="1" t="inlineStr">
        <is>
          <t xml:space="preserve">  DEBMM Assessment</t>
        </is>
      </c>
      <c r="B1" s="2" t="n"/>
      <c r="C1" s="2" t="n"/>
      <c r="D1" s="2" t="n"/>
      <c r="E1" s="2" t="n"/>
      <c r="F1" s="2" t="n"/>
      <c r="G1" s="2" t="n"/>
      <c r="H1" s="2" t="n"/>
    </row>
    <row r="2" ht="24" customHeight="1">
      <c r="A2" s="3" t="inlineStr">
        <is>
          <t xml:space="preserve">  Detection Engineering Behavior Maturity Model</t>
        </is>
      </c>
      <c r="B2" s="4" t="n"/>
      <c r="C2" s="4" t="n"/>
      <c r="D2" s="4" t="n"/>
      <c r="E2" s="4" t="n"/>
      <c r="F2" s="4" t="n"/>
      <c r="G2" s="4" t="n"/>
      <c r="H2" s="4" t="n"/>
    </row>
    <row r="3" ht="8" customHeight="1"/>
    <row r="4">
      <c r="C4" s="10" t="inlineStr">
        <is>
          <t>Organization:</t>
        </is>
      </c>
      <c r="D4" s="11" t="n"/>
      <c r="E4" s="12" t="n"/>
    </row>
    <row r="5">
      <c r="C5" s="10" t="inlineStr">
        <is>
          <t>Assessor Name:</t>
        </is>
      </c>
      <c r="D5" s="11" t="n"/>
      <c r="E5" s="12" t="n"/>
    </row>
    <row r="6">
      <c r="C6" s="10" t="inlineStr">
        <is>
          <t>Assessor Role:</t>
        </is>
      </c>
      <c r="D6" s="11" t="n"/>
      <c r="E6" s="12" t="n"/>
    </row>
    <row r="7">
      <c r="C7" s="10" t="inlineStr">
        <is>
          <t>Date:</t>
        </is>
      </c>
      <c r="D7" s="11" t="n"/>
      <c r="E7" s="12" t="n"/>
    </row>
    <row r="8">
      <c r="C8" s="10" t="inlineStr">
        <is>
          <t>Assessment Type:</t>
        </is>
      </c>
      <c r="D8" s="11" t="inlineStr">
        <is>
          <t>Audit</t>
        </is>
      </c>
      <c r="E8" s="12" t="n"/>
    </row>
    <row r="10" ht="32" customHeight="1">
      <c r="B10" s="5" t="inlineStr">
        <is>
          <t>DEBMM CORE ASSESSMENT — Tiers 0—4</t>
        </is>
      </c>
      <c r="C10" s="6" t="n"/>
      <c r="D10" s="6" t="n"/>
      <c r="E10" s="6" t="n"/>
      <c r="F10" s="6" t="n"/>
    </row>
    <row r="11" ht="22" customHeight="1">
      <c r="B11" s="13" t="inlineStr">
        <is>
          <t>Rate your team across the 5 progressive DEBMM tiers. Your achieved tier is the highest where all criteria score ≥ 3.0.</t>
        </is>
      </c>
      <c r="C11" s="6" t="n"/>
      <c r="D11" s="6" t="n"/>
      <c r="E11" s="6" t="n"/>
      <c r="F11" s="6" t="n"/>
    </row>
    <row r="12" ht="26" customHeight="1">
      <c r="B12" s="14" t="inlineStr">
        <is>
          <t>ID</t>
        </is>
      </c>
      <c r="C12" s="14" t="inlineStr">
        <is>
          <t>Criterion</t>
        </is>
      </c>
      <c r="D12" s="14" t="inlineStr">
        <is>
          <t>Question</t>
        </is>
      </c>
      <c r="E12" s="14" t="inlineStr">
        <is>
          <t>Answer</t>
        </is>
      </c>
      <c r="F12" s="14" t="inlineStr">
        <is>
          <t>Score</t>
        </is>
      </c>
      <c r="G12" s="14" t="inlineStr">
        <is>
          <t>Evidence / Notes</t>
        </is>
      </c>
    </row>
    <row r="13" ht="34" customHeight="1">
      <c r="B13" s="15" t="inlineStr">
        <is>
          <t xml:space="preserve">  TIER 0: FOUNDATION</t>
        </is>
      </c>
      <c r="C13" s="4" t="n"/>
      <c r="D13" s="4" t="n"/>
      <c r="E13" s="4" t="n"/>
      <c r="F13" s="4" t="n"/>
      <c r="G13" s="4" t="n"/>
    </row>
    <row r="14" ht="20" customHeight="1">
      <c r="B14" s="13" t="inlineStr">
        <is>
          <t>Establishes the basic groundwork for detection engineering.</t>
        </is>
      </c>
      <c r="C14" s="6" t="n"/>
      <c r="D14" s="6" t="n"/>
      <c r="E14" s="6" t="n"/>
      <c r="F14" s="6" t="n"/>
    </row>
    <row r="15" ht="115" customHeight="1">
      <c r="B15" s="16" t="inlineStr">
        <is>
          <t>T0-Q1</t>
        </is>
      </c>
      <c r="C15" s="17" t="inlineStr">
        <is>
          <t>Structured Rule Development Approach</t>
        </is>
      </c>
      <c r="D15" s="18" t="inlineStr">
        <is>
          <t>Rate the maturity of the assessed team's rule development process.
1 — No structured approach; rules created ad hoc or reactively (0% follow a formal process)
2 — Some rules follow a loose process but it is inconsistently applied (&lt;30% follow a documented process)
3 — Defined methodology is documented and followed for most new rules (50-70% follow process; schema alignment &gt;60%)
4 — Standardized across team with enforced workflows, templates, and quality gates (80-90% schema alignment; all new rules go through formal review)
5 — Continuous improvement via feedback loops; fully integrated with CI/CD and automated linting/validation (90-100% schema alignment)</t>
        </is>
      </c>
      <c r="E15" s="19" t="n"/>
      <c r="F15" s="20">
        <f>IF(E15="","",E15)</f>
        <v/>
      </c>
      <c r="G15" s="21" t="n"/>
    </row>
    <row r="16" ht="35" customHeight="1">
      <c r="B16" s="22" t="inlineStr">
        <is>
          <t>T0-Q2</t>
        </is>
      </c>
      <c r="C16" s="23" t="inlineStr">
        <is>
          <t>Structured Rule Development Approach</t>
        </is>
      </c>
      <c r="D16" s="24" t="inlineStr">
        <is>
          <t>Do all new detection rules go through peer review before production deployment?</t>
        </is>
      </c>
      <c r="E16" s="19" t="n"/>
      <c r="F16" s="25">
        <f>IF(E16="Yes",4,IF(E16="No",1,""))</f>
        <v/>
      </c>
      <c r="G16" s="21" t="n"/>
    </row>
    <row r="17" ht="115" customHeight="1">
      <c r="B17" s="16" t="inlineStr">
        <is>
          <t>T0-Q3</t>
        </is>
      </c>
      <c r="C17" s="17" t="inlineStr">
        <is>
          <t>Rule Creation and Maintenance</t>
        </is>
      </c>
      <c r="D17" s="18" t="inlineStr">
        <is>
          <t>What percentage of the assessed team's rules are reviewed on a regular schedule?
1 — Less than 50% reviewed annually; no rule owners assigned
2 — 50-70% reviewed annually; rules may have informal owners but no formal peer review process
3 — 70-80% reviewed on schedule; rules have assigned owners and defined review cycles; peer review on most changes
4 — 80-90% reviewed on schedule; comprehensive lifecycle management (create, test, deploy, monitor, retire); 100% peer review on changes
5 — 90-100% reviewed on schedule; automated rule health monitoring flags stale or broken rules for review</t>
        </is>
      </c>
      <c r="E17" s="19" t="n"/>
      <c r="F17" s="20">
        <f>IF(E17="","",E17)</f>
        <v/>
      </c>
      <c r="G17" s="21" t="n"/>
    </row>
    <row r="18" ht="115" customHeight="1">
      <c r="B18" s="22" t="inlineStr">
        <is>
          <t>T0-Q4</t>
        </is>
      </c>
      <c r="C18" s="26" t="inlineStr">
        <is>
          <t>Roadmap Documentation</t>
        </is>
      </c>
      <c r="D18" s="24" t="inlineStr">
        <is>
          <t>Rate the maturity of the assessed team's detection engineering roadmap.
1 — No roadmap exists; work is entirely reactive or driven by individual initiative
2 — Informal roadmap or backlog exists (e.g., a Jira board or wiki page) but is not regularly maintained or shared (&lt;30% of work tied to a plan)
3 — Formal roadmap documented, reviewed at least quarterly, shared with stakeholders; priorities are clear (50-70% of planned work tracked)
4 — Integrated with organizational security strategy; progress tracked with metrics and reported to leadership (70-90% tracked; quarterly leadership reviews)
5 — Dynamic, continuously updated roadmap driven by threat intel, gap analysis, and risk priorities (90-100% tracked; auto-updated from analysis feeds)</t>
        </is>
      </c>
      <c r="E18" s="19" t="n"/>
      <c r="F18" s="25">
        <f>IF(E18="","",E18)</f>
        <v/>
      </c>
      <c r="G18" s="21" t="n"/>
    </row>
    <row r="19" ht="115" customHeight="1">
      <c r="B19" s="16" t="inlineStr">
        <is>
          <t>T0-Q5</t>
        </is>
      </c>
      <c r="C19" s="17" t="inlineStr">
        <is>
          <t>Threat Modeling</t>
        </is>
      </c>
      <c r="D19" s="18" t="inlineStr">
        <is>
          <t>How frequently does the assessed team perform threat modeling?
1 — Never performed or not at all
2 — Less than once per year; typically triggered by a major incident or audit finding
3 — 1-2 times per year with documented results that inform the detection roadmap
4 — Quarterly or more; outputs directly prioritize new detection development (&gt;70% of new detections tied to threat model outputs)
5 — Continuous proactive modeling incorporating real-time threat intel, attack surface changes, and emerging TTPs</t>
        </is>
      </c>
      <c r="E19" s="19" t="n"/>
      <c r="F19" s="20">
        <f>IF(E19="","",E19)</f>
        <v/>
      </c>
      <c r="G19" s="21" t="n"/>
    </row>
    <row r="20" ht="35" customHeight="1">
      <c r="B20" s="22" t="inlineStr">
        <is>
          <t>T0-Q6</t>
        </is>
      </c>
      <c r="C20" s="23" t="inlineStr">
        <is>
          <t>Threat Modeling</t>
        </is>
      </c>
      <c r="D20" s="24" t="inlineStr">
        <is>
          <t>Does the assessed team's threat modeling use a recognized framework?</t>
        </is>
      </c>
      <c r="E20" s="19" t="n"/>
      <c r="F20" s="25">
        <f>IF(E20="Yes",3,IF(E20="No",1,""))</f>
        <v/>
      </c>
      <c r="G20" s="21" t="n"/>
    </row>
    <row r="21" ht="35" customHeight="1">
      <c r="B21" s="16" t="inlineStr">
        <is>
          <t>T0-Q7</t>
        </is>
      </c>
      <c r="C21" s="27" t="inlineStr">
        <is>
          <t>Threat Modeling</t>
        </is>
      </c>
      <c r="D21" s="18" t="inlineStr">
        <is>
          <t>Do threat modeling outputs directly generate items on the assessed team's backlog?</t>
        </is>
      </c>
      <c r="E21" s="19" t="n"/>
      <c r="F21" s="20">
        <f>IF(E21="Yes",4,IF(E21="No",1,""))</f>
        <v/>
      </c>
      <c r="G21" s="21" t="n"/>
    </row>
    <row r="22" ht="34" customHeight="1">
      <c r="B22" s="15" t="inlineStr">
        <is>
          <t xml:space="preserve">  TIER 1: BASIC</t>
        </is>
      </c>
      <c r="C22" s="4" t="n"/>
      <c r="D22" s="4" t="n"/>
      <c r="E22" s="4" t="n"/>
      <c r="F22" s="4" t="n"/>
      <c r="G22" s="4" t="n"/>
    </row>
    <row r="23" ht="20" customHeight="1">
      <c r="B23" s="13" t="inlineStr">
        <is>
          <t>Establishes baseline detection capabilities with systematic management, version control, and initial alignment with the threat landscape.</t>
        </is>
      </c>
      <c r="C23" s="6" t="n"/>
      <c r="D23" s="6" t="n"/>
      <c r="E23" s="6" t="n"/>
      <c r="F23" s="6" t="n"/>
    </row>
    <row r="24" ht="115" customHeight="1">
      <c r="B24" s="16" t="inlineStr">
        <is>
          <t>T1-Q1</t>
        </is>
      </c>
      <c r="C24" s="17" t="inlineStr">
        <is>
          <t>Baseline Rule Creation</t>
        </is>
      </c>
      <c r="D24" s="18" t="inlineStr">
        <is>
          <t>How many custom detection rules does the assessed team maintain?
1 — Fewer than 10 custom rules; mostly relying on vendor/out-of-the-box rules
2 — 10-30 rules covering the most critical threats (e.g., ransomware, credential theft, C2)
3 — 30-60 rules with a mix of signature-based and behavioral detections across major categories
4 — 60-100 rules including behavioral and TTP-focused detections tuned per environment
5 — 100+ rules with continuous refinement, environment-specific tuning, and automated coverage analysis</t>
        </is>
      </c>
      <c r="E24" s="19" t="n"/>
      <c r="F24" s="20">
        <f>IF(E24="","",E24)</f>
        <v/>
      </c>
      <c r="G24" s="21" t="n"/>
    </row>
    <row r="25" ht="115" customHeight="1">
      <c r="B25" s="22" t="inlineStr">
        <is>
          <t>T1-Q2</t>
        </is>
      </c>
      <c r="C25" s="23" t="inlineStr">
        <is>
          <t>Baseline Rule Creation</t>
        </is>
      </c>
      <c r="D25" s="24" t="inlineStr">
        <is>
          <t>Estimate the assessed team's MITRE ATT&amp;CK technique coverage for priority areas.
1 — Unknown or not measured; no ATT&amp;CK mapping performed
2 — Less than 30% of priority techniques covered; coverage is ad hoc
3 — 30-50% of priority techniques covered with documented gaps identified
4 — 50-70% coverage including behavioral detections; gaps tracked against threat model
5 — Over 70% coverage with continuous gap analysis and automated coverage tracking</t>
        </is>
      </c>
      <c r="E25" s="19" t="n"/>
      <c r="F25" s="25">
        <f>IF(E25="","",E25)</f>
        <v/>
      </c>
      <c r="G25" s="21" t="n"/>
    </row>
    <row r="26" ht="115" customHeight="1">
      <c r="B26" s="16" t="inlineStr">
        <is>
          <t>T1-Q3</t>
        </is>
      </c>
      <c r="C26" s="17" t="inlineStr">
        <is>
          <t>Ruleset Management and Maintenance</t>
        </is>
      </c>
      <c r="D26" s="18" t="inlineStr">
        <is>
          <t>Rate the maturity of the assessed team's ruleset management.
1 — No formal management; rules live only in the SIEM console with no version control or documentation (&lt;20% in version control)
2 — Some rules stored in version control (e.g., Git) with basic documentation (20-50% in VCS)
3 — Most rules in version control with documentation standards; detection-as-code approach being adopted (50-80% in VCS with docs)
4 — Detection-as-code is standard practice; CI/CD pipelines handle rule testing and deployment; all rules documented and versioned (80-90% in DaC pipeline)
5 — Fully automated rule lifecycle: CI/CD, automated testing, continuous validation, and weekly maintenance cycles (100% DaC)</t>
        </is>
      </c>
      <c r="E26" s="19" t="n"/>
      <c r="F26" s="20">
        <f>IF(E26="","",E26)</f>
        <v/>
      </c>
      <c r="G26" s="21" t="n"/>
    </row>
    <row r="27" ht="115" customHeight="1">
      <c r="B27" s="22" t="inlineStr">
        <is>
          <t>T1-Q4</t>
        </is>
      </c>
      <c r="C27" s="26" t="inlineStr">
        <is>
          <t>Telemetry Quality</t>
        </is>
      </c>
      <c r="D27" s="24" t="inlineStr">
        <is>
          <t>Rate the quality and coverage of the assessed team's telemetry.
1 — No active telemetry management; using whatever data sources happen to be available (&lt;30% of rule types have adequate telemetry)
2 — Some awareness of gaps; basic health checks on critical sources like EDR and firewall logs (30-50% adequate coverage)
3 — Actively monitored; data source coverage mapped to detection needs; CTI enrichment beginning (50-70% coverage)
4 — Comprehensive with automated health monitoring, CTI enrichment, and proactive gap identification (70-90% coverage)
5 — Advanced workflows with real-time enrichment, automated remediation of telemetry gaps, full CTI integration (90-100% coverage)</t>
        </is>
      </c>
      <c r="E27" s="19" t="n"/>
      <c r="F27" s="25">
        <f>IF(E27="","",E27)</f>
        <v/>
      </c>
      <c r="G27" s="21" t="n"/>
    </row>
    <row r="28" ht="35" customHeight="1">
      <c r="B28" s="16" t="inlineStr">
        <is>
          <t>T1-Q5</t>
        </is>
      </c>
      <c r="C28" s="27" t="inlineStr">
        <is>
          <t>Telemetry Quality</t>
        </is>
      </c>
      <c r="D28" s="18" t="inlineStr">
        <is>
          <t>Does the assessed team maintain a documented data source inventory mapped to use cases?</t>
        </is>
      </c>
      <c r="E28" s="19" t="n"/>
      <c r="F28" s="20">
        <f>IF(E28="Yes",3,IF(E28="No",1,""))</f>
        <v/>
      </c>
      <c r="G28" s="21" t="n"/>
    </row>
    <row r="29" ht="35" customHeight="1">
      <c r="B29" s="22" t="inlineStr">
        <is>
          <t>T1-Q6</t>
        </is>
      </c>
      <c r="C29" s="23" t="inlineStr">
        <is>
          <t>Telemetry Quality</t>
        </is>
      </c>
      <c r="D29" s="24" t="inlineStr">
        <is>
          <t>Does the assessed team have automated alerting for data source degradation?</t>
        </is>
      </c>
      <c r="E29" s="19" t="n"/>
      <c r="F29" s="25">
        <f>IF(E29="Yes",4,IF(E29="No",1,""))</f>
        <v/>
      </c>
      <c r="G29" s="21" t="n"/>
    </row>
    <row r="30" ht="115" customHeight="1">
      <c r="B30" s="16" t="inlineStr">
        <is>
          <t>T1-Q7</t>
        </is>
      </c>
      <c r="C30" s="17" t="inlineStr">
        <is>
          <t>Threat Landscape Review</t>
        </is>
      </c>
      <c r="D30" s="18" t="inlineStr">
        <is>
          <t>How frequently does the assessed team review the threat landscape?
1 — No regular reviews; detection priorities are not informed by current threats
2 — Annually or bi-annually; some rule updates after major threat advisories (1-2 reviews/year)
3 — Quarterly with documented findings that update the detection roadmap (50-70% of rules reviewed against current threats)
4 — Monthly reviews integrated with threat intelligence feeds; detection priorities continuously aligned (70-90% aligned)
5 — Real-time threat landscape monitoring with automated intel feeds driving detection priority updates (90-100% aligned)</t>
        </is>
      </c>
      <c r="E30" s="19" t="n"/>
      <c r="F30" s="20">
        <f>IF(E30="","",E30)</f>
        <v/>
      </c>
      <c r="G30" s="21" t="n"/>
    </row>
    <row r="31" ht="115" customHeight="1">
      <c r="B31" s="22" t="inlineStr">
        <is>
          <t>T1-Q8</t>
        </is>
      </c>
      <c r="C31" s="26" t="inlineStr">
        <is>
          <t>Product Owner Engagement</t>
        </is>
      </c>
      <c r="D31" s="24" t="inlineStr">
        <is>
          <t>Rate the engagement between the assessed team and product/platform owners.
1 — No engagement; detection needs are never communicated to product/platform teams
2 — Occasional ad hoc engagement, typically reactive to issues or missing features (fewer than 4 interactions per year)
3 — Quarterly structured engagements to communicate detection needs, request features, and provide feedback
4 — Monthly proactive partnership; detection requirements tracked on product roadmaps (&gt;50% of requests on roadmap)
5 — Continuous engagement with joint planning, shared success metrics, and detection needs directly influencing product development</t>
        </is>
      </c>
      <c r="E31" s="19" t="n"/>
      <c r="F31" s="25">
        <f>IF(E31="","",E31)</f>
        <v/>
      </c>
      <c r="G31" s="21" t="n"/>
    </row>
    <row r="32" ht="115" customHeight="1">
      <c r="B32" s="16" t="inlineStr">
        <is>
          <t>T1-Q9</t>
        </is>
      </c>
      <c r="C32" s="17" t="inlineStr">
        <is>
          <t>Release Testing and Validation</t>
        </is>
      </c>
      <c r="D32" s="18" t="inlineStr">
        <is>
          <t>Rate the maturity of the assessed team's release testing.
1 — No testing; rules are deployed to production without validation (&lt;20% tested)
2 — Basic manual testing on some rules before deployment; no standardized process or test environment (20-40% tested)
3 — Standardized testing with defined test cases and a staging/test environment; most rules validated before deploy (50-70% tested)
4 — Comprehensive testing including unit tests, integration tests, and emulation-based validation; rapid deployment for emerging threats (70-90% automated; 24hr critical deployment capability)
5 — Continuous automated testing in full CI/CD pipeline; every rule validated before every deployment (90-100% automated)</t>
        </is>
      </c>
      <c r="E32" s="19" t="n"/>
      <c r="F32" s="20">
        <f>IF(E32="","",E32)</f>
        <v/>
      </c>
      <c r="G32" s="21" t="n"/>
    </row>
    <row r="33" ht="34" customHeight="1">
      <c r="B33" s="15" t="inlineStr">
        <is>
          <t xml:space="preserve">  TIER 2: INTERMEDIATE</t>
        </is>
      </c>
      <c r="C33" s="4" t="n"/>
      <c r="D33" s="4" t="n"/>
      <c r="E33" s="4" t="n"/>
      <c r="F33" s="4" t="n"/>
      <c r="G33" s="4" t="n"/>
    </row>
    <row r="34" ht="20" customHeight="1">
      <c r="B34" s="13" t="inlineStr">
        <is>
          <t>Focuses on improving detection quality through tuning, gap analysis, and systematic internal validation.</t>
        </is>
      </c>
      <c r="C34" s="6" t="n"/>
      <c r="D34" s="6" t="n"/>
      <c r="E34" s="6" t="n"/>
      <c r="F34" s="6" t="n"/>
    </row>
    <row r="35" ht="115" customHeight="1">
      <c r="B35" s="16" t="inlineStr">
        <is>
          <t>T2-Q1</t>
        </is>
      </c>
      <c r="C35" s="17" t="inlineStr">
        <is>
          <t>False Positive Tuning and Reduction</t>
        </is>
      </c>
      <c r="D35" s="18" t="inlineStr">
        <is>
          <t>Rate the maturity of the assessed team's FP reduction program.
1 — Minimal or no tuning; high false positive rates accepted as normal; no FP metrics tracked
2 — Reactive tuning when analysts complain about noisy rules; no systematic tracking of FP rates (10-25% FP reduction from baseline)
3 — Regular tuning cycles (at least quarterly); FP rates tracked per rule; tuning is documented (25-50% FP reduction)
4 — Comprehensive FP management with automated tuning suggestions, risk-based alert scoring, and continuous monitoring (&gt;50% FP reduction)
5 — Automated dynamic tuning with ML; near-zero unnecessary alert noise; continuous optimization (&gt;75% FP reduction from baseline)</t>
        </is>
      </c>
      <c r="E35" s="19" t="n"/>
      <c r="F35" s="20">
        <f>IF(E35="","",E35)</f>
        <v/>
      </c>
      <c r="G35" s="21" t="n"/>
    </row>
    <row r="36" ht="115" customHeight="1">
      <c r="B36" s="22" t="inlineStr">
        <is>
          <t>T2-Q2</t>
        </is>
      </c>
      <c r="C36" s="23" t="inlineStr">
        <is>
          <t>False Positive Tuning and Reduction</t>
        </is>
      </c>
      <c r="D36" s="24" t="inlineStr">
        <is>
          <t>What is the assessed team's estimated FP reduction from baseline?
1 — Unknown or not measured
2 — Less than 25% reduction
3 — 25-50% reduction with per-rule FP rate tracking
4 — 50-75% reduction with automated tuning recommendations
5 — Over 75% reduction with ML-assisted continuous tuning</t>
        </is>
      </c>
      <c r="E36" s="19" t="n"/>
      <c r="F36" s="25">
        <f>IF(E36="","",E36)</f>
        <v/>
      </c>
      <c r="G36" s="21" t="n"/>
    </row>
    <row r="37" ht="115" customHeight="1">
      <c r="B37" s="16" t="inlineStr">
        <is>
          <t>T2-Q3</t>
        </is>
      </c>
      <c r="C37" s="17" t="inlineStr">
        <is>
          <t>Gap Analysis and Documentation</t>
        </is>
      </c>
      <c r="D37" s="18" t="inlineStr">
        <is>
          <t>Rate the maturity of the assessed team's gap analysis.
1 — No gap analysis performed; detection coverage gaps are unknown
2 — Some gaps identified informally after incidents expose missing detections (1-3 gaps documented; reactive only)
3 — Regular analysis against ATT&amp;CK or similar frameworks at least quarterly; gaps documented, prioritized, and tracked (5+ gaps documented and prioritized)
4 — Comprehensive analysis integrated with threat modeling and risk assessment; gaps drive the detection roadmap (continuous tracking; integrated into roadmap)
5 — Automated gap analysis using coverage mapping tools; real-time dashboards showing detection coverage (automated continuous analysis)</t>
        </is>
      </c>
      <c r="E37" s="19" t="n"/>
      <c r="F37" s="20">
        <f>IF(E37="","",E37)</f>
        <v/>
      </c>
      <c r="G37" s="21" t="n"/>
    </row>
    <row r="38" ht="35" customHeight="1">
      <c r="B38" s="22" t="inlineStr">
        <is>
          <t>T2-Q4</t>
        </is>
      </c>
      <c r="C38" s="23" t="inlineStr">
        <is>
          <t>Gap Analysis and Documentation</t>
        </is>
      </c>
      <c r="D38" s="24" t="inlineStr">
        <is>
          <t>Does the assessed team maintain a documented, prioritized gap list updated quarterly?</t>
        </is>
      </c>
      <c r="E38" s="19" t="n"/>
      <c r="F38" s="25">
        <f>IF(E38="Yes",3,IF(E38="No",1,""))</f>
        <v/>
      </c>
      <c r="G38" s="21" t="n"/>
    </row>
    <row r="39" ht="35" customHeight="1">
      <c r="B39" s="16" t="inlineStr">
        <is>
          <t>T2-Q5</t>
        </is>
      </c>
      <c r="C39" s="27" t="inlineStr">
        <is>
          <t>Gap Analysis and Documentation</t>
        </is>
      </c>
      <c r="D39" s="18" t="inlineStr">
        <is>
          <t>Are the assessed team's gaps communicated to stakeholders at least quarterly?</t>
        </is>
      </c>
      <c r="E39" s="19" t="n"/>
      <c r="F39" s="20">
        <f>IF(E39="Yes",4,IF(E39="No",1,""))</f>
        <v/>
      </c>
      <c r="G39" s="21" t="n"/>
    </row>
    <row r="40" ht="115" customHeight="1">
      <c r="B40" s="22" t="inlineStr">
        <is>
          <t>T2-Q6</t>
        </is>
      </c>
      <c r="C40" s="26" t="inlineStr">
        <is>
          <t>Internal Testing and Validation</t>
        </is>
      </c>
      <c r="D40" s="24" t="inlineStr">
        <is>
          <t>Rate the maturity of the assessed team's internal testing program.
1 — No internal testing; rules are assumed to work once deployed
2 — Occasional manual testing of high-priority rules using basic atomic tests (&lt;40% emulation coverage)
3 — Regular testing program with attack emulation (e.g., Atomic Red Team, Caldera) covering major detection categories; results documented (40-70% emulation coverage; at least quarterly)
4 — Comprehensive testing with automated attack emulation, purple team exercises, and continuous validation (70-90% automated emulation coverage)
5 — Continuous automated testing with full emulation coverage and automated regression testing on every rule change (&gt;90% automated coverage)</t>
        </is>
      </c>
      <c r="E40" s="19" t="n"/>
      <c r="F40" s="25">
        <f>IF(E40="","",E40)</f>
        <v/>
      </c>
      <c r="G40" s="21" t="n"/>
    </row>
    <row r="41" ht="34" customHeight="1">
      <c r="B41" s="15" t="inlineStr">
        <is>
          <t xml:space="preserve">  TIER 3: ADVANCED</t>
        </is>
      </c>
      <c r="C41" s="4" t="n"/>
      <c r="D41" s="4" t="n"/>
      <c r="E41" s="4" t="n"/>
      <c r="F41" s="4" t="n"/>
      <c r="G41" s="4" t="n"/>
    </row>
    <row r="42" ht="20" customHeight="1">
      <c r="B42" s="13" t="inlineStr">
        <is>
          <t>Addresses false negatives, external validation, and advanced threat coverage to ensure detections catch real attacks.</t>
        </is>
      </c>
      <c r="C42" s="6" t="n"/>
      <c r="D42" s="6" t="n"/>
      <c r="E42" s="6" t="n"/>
      <c r="F42" s="6" t="n"/>
    </row>
    <row r="43" ht="115" customHeight="1">
      <c r="B43" s="16" t="inlineStr">
        <is>
          <t>T3-Q1</t>
        </is>
      </c>
      <c r="C43" s="17" t="inlineStr">
        <is>
          <t>False Negative Triage</t>
        </is>
      </c>
      <c r="D43" s="18" t="inlineStr">
        <is>
          <t>Rate the assessed team's ability to detect and remediate false negatives.
1 — No FN identification process; missed detections only discovered during incident response
2 — Some FNs identified through post-incident reviews; basic tracking of missed detections (50% of tested samples trigger expected alerts)
3 — Systematic FN identification through regular testing and validation; root causes analyzed and documented (70-90% trigger rate; 30-50% FN reduction)
4 — Comprehensive FN management with automated detection validation, coverage testing, and rapid remediation (90-100% trigger rate; &gt;50% FN reduction)
5 — Continuous automated FN detection using real-time validation against live threat samples (near-zero FN rate; &gt;75% FN reduction)</t>
        </is>
      </c>
      <c r="E43" s="19" t="n"/>
      <c r="F43" s="20">
        <f>IF(E43="","",E43)</f>
        <v/>
      </c>
      <c r="G43" s="21" t="n"/>
    </row>
    <row r="44" ht="115" customHeight="1">
      <c r="B44" s="22" t="inlineStr">
        <is>
          <t>T3-Q2</t>
        </is>
      </c>
      <c r="C44" s="23" t="inlineStr">
        <is>
          <t>False Negative Triage</t>
        </is>
      </c>
      <c r="D44" s="24" t="inlineStr">
        <is>
          <t>What is the assessed team's detection trigger rate on tested samples?
1 — Unknown or not tested
2 — Less than 50% of test samples trigger expected detections
3 — 50-70% trigger rate with root cause analysis on misses
4 — 70-90% trigger rate with automated validation and remediation
5 — Over 90% trigger rate with continuous regression testing</t>
        </is>
      </c>
      <c r="E44" s="19" t="n"/>
      <c r="F44" s="25">
        <f>IF(E44="","",E44)</f>
        <v/>
      </c>
      <c r="G44" s="21" t="n"/>
    </row>
    <row r="45" ht="115" customHeight="1">
      <c r="B45" s="16" t="inlineStr">
        <is>
          <t>T3-Q3</t>
        </is>
      </c>
      <c r="C45" s="17" t="inlineStr">
        <is>
          <t>External Validation</t>
        </is>
      </c>
      <c r="D45" s="18" t="inlineStr">
        <is>
          <t>Rate the maturity of the assessed team's external validation.
1 — No external validation; no red team, pentest, or third-party assessment of detection effectiveness
2 — Annual penetration test that includes some detection assessment but is not detection-focused (1 exercise per year)
3 — Regular external validation through red team engagements or third-party assessments specifically focused on detection effectiveness (&gt;1 per year; findings drive improvements)
4 — Multiple external validation exercises annually including red team, purple team, and breach simulation; systematic feedback integration (multiple per year; &gt;70% of findings remediated within 30 days)
5 — Continuous BAS (breach and attack simulation) tools and regular adversary emulation exercises with real-time feedback loops</t>
        </is>
      </c>
      <c r="E45" s="19" t="n"/>
      <c r="F45" s="20">
        <f>IF(E45="","",E45)</f>
        <v/>
      </c>
      <c r="G45" s="21" t="n"/>
    </row>
    <row r="46" ht="115" customHeight="1">
      <c r="B46" s="22" t="inlineStr">
        <is>
          <t>T3-Q4</t>
        </is>
      </c>
      <c r="C46" s="26" t="inlineStr">
        <is>
          <t>Advanced TTP Coverage</t>
        </is>
      </c>
      <c r="D46" s="24" t="inlineStr">
        <is>
          <t>Rate the assessed team's coverage of advanced TTPs.
1 — No advanced TTP coverage; detections are signature/IOC-based only
2 — Limited coverage of 1-2 advanced technique categories (e.g., basic PowerShell abuse detection)
3 — Growing coverage of 3-4 categories informed by threat intel; behavioral detections supplement signatures (e.g., LOLBin usage, fileless execution, credential access evasion)
4 — Comprehensive coverage of 5+ categories including sophisticated evasion, novel attack chains, and emerging threats (e.g., defense evasion/log tampering, lateral movement via legitimate tools, supply chain vectors)
5 — Continuous proactive coverage using AI/ML for anomaly detection and automated response to emerging TTPs; real-time advanced TTP detection</t>
        </is>
      </c>
      <c r="E46" s="19" t="n"/>
      <c r="F46" s="25">
        <f>IF(E46="","",E46)</f>
        <v/>
      </c>
      <c r="G46" s="21" t="n"/>
    </row>
    <row r="47" ht="115" customHeight="1">
      <c r="B47" s="16" t="inlineStr">
        <is>
          <t>T3-Q5</t>
        </is>
      </c>
      <c r="C47" s="27" t="inlineStr">
        <is>
          <t>Advanced TTP Coverage</t>
        </is>
      </c>
      <c r="D47" s="18" t="inlineStr">
        <is>
          <t>How many of these categories does the assessed team have behavioral detections for: LOLBins, fileless malware, credential evasion, defense evasion, lateral movement?
1 — None of these
2 — 1 of these categories
3 — 2-3 of these categories
4 — 4-5 of these categories
5 — All 5 plus additional categories (e.g., supply chain attacks, AI-assisted threats)</t>
        </is>
      </c>
      <c r="E47" s="19" t="n"/>
      <c r="F47" s="20">
        <f>IF(E47="","",E47)</f>
        <v/>
      </c>
      <c r="G47" s="21" t="n"/>
    </row>
    <row r="48" ht="34" customHeight="1">
      <c r="B48" s="15" t="inlineStr">
        <is>
          <t xml:space="preserve">  TIER 4: EXPERT</t>
        </is>
      </c>
      <c r="C48" s="4" t="n"/>
      <c r="D48" s="4" t="n"/>
      <c r="E48" s="4" t="n"/>
      <c r="F48" s="4" t="n"/>
      <c r="G48" s="4" t="n"/>
    </row>
    <row r="49" ht="20" customHeight="1">
      <c r="B49" s="13" t="inlineStr">
        <is>
          <t>Features proactive threat hunting, advanced automation, AI/LLM integration, and continuous improvement across the detection lifecycle.</t>
        </is>
      </c>
      <c r="C49" s="6" t="n"/>
      <c r="D49" s="6" t="n"/>
      <c r="E49" s="6" t="n"/>
      <c r="F49" s="6" t="n"/>
    </row>
    <row r="50" ht="115" customHeight="1">
      <c r="B50" s="16" t="inlineStr">
        <is>
          <t>T4-Q1</t>
        </is>
      </c>
      <c r="C50" s="17" t="inlineStr">
        <is>
          <t>Threat Hunting in Telemetry</t>
        </is>
      </c>
      <c r="D50" s="18" t="inlineStr">
        <is>
          <t>Rate the maturity of the assessed team's threat hunting.
1 — No proactive hunting; all detection is passive through deployed rules
2 — Occasional ad hoc hunting triggered by intel or incidents; findings not systematically converted to detections (fewer than 2 hunts/month; &lt;30% findings converted to rules)
3 — Regular structured hunting at least weekly, driven by documented hypotheses from intel or gap analysis; findings feed detection development (weekly hunts; 50-70% of findings integrated into rules)
4 — Comprehensive daily hunting program with advanced analytics (e.g., statistical baselining, graph analysis); systematic integration of all findings (daily hunts; &gt;90% findings integrated)
5 — Automated real-time hunting augmented by AI/ML; hunting outputs automatically generate detection rule candidates</t>
        </is>
      </c>
      <c r="E50" s="19" t="n"/>
      <c r="F50" s="20">
        <f>IF(E50="","",E50)</f>
        <v/>
      </c>
      <c r="G50" s="21" t="n"/>
    </row>
    <row r="51" ht="35" customHeight="1">
      <c r="B51" s="22" t="inlineStr">
        <is>
          <t>T4-Q2</t>
        </is>
      </c>
      <c r="C51" s="23" t="inlineStr">
        <is>
          <t>Threat Hunting in Telemetry</t>
        </is>
      </c>
      <c r="D51" s="24" t="inlineStr">
        <is>
          <t>Are the assessed team's hunts driven by documented hypotheses?</t>
        </is>
      </c>
      <c r="E51" s="19" t="n"/>
      <c r="F51" s="25">
        <f>IF(E51="Yes",4,IF(E51="No",1,""))</f>
        <v/>
      </c>
      <c r="G51" s="21" t="n"/>
    </row>
    <row r="52" ht="35" customHeight="1">
      <c r="B52" s="16" t="inlineStr">
        <is>
          <t>T4-Q3</t>
        </is>
      </c>
      <c r="C52" s="27" t="inlineStr">
        <is>
          <t>Threat Hunting in Telemetry</t>
        </is>
      </c>
      <c r="D52" s="18" t="inlineStr">
        <is>
          <t>Is there a defined process to convert hunting findings into production rules?</t>
        </is>
      </c>
      <c r="E52" s="19" t="n"/>
      <c r="F52" s="20">
        <f>IF(E52="Yes",4,IF(E52="No",1,""))</f>
        <v/>
      </c>
      <c r="G52" s="21" t="n"/>
    </row>
    <row r="53" ht="115" customHeight="1">
      <c r="B53" s="22" t="inlineStr">
        <is>
          <t>T4-Q4</t>
        </is>
      </c>
      <c r="C53" s="26" t="inlineStr">
        <is>
          <t>Automation and Continuous Improvement</t>
        </is>
      </c>
      <c r="D53" s="24" t="inlineStr">
        <is>
          <t>What percentage of the assessed team's DE tasks are automated?
1 — None; all processes are manual (0% automated)
2 — Basic automation of some repetitive tasks like deployment scripts (&lt;30% automated)
3 — Significant lifecycle automation including AI-based quality checks on new rules; improvement metrics tracked (40-60% automated)
4 — Advanced automation covering most of the lifecycle; AI/LLM tools used for rule optimization, duplication detection, and analysis (70-80% automated)
5 — Full AI/LLM integration throughout the detection lifecycle; automated rule generation, tuning, and retirement (&gt;90% automated; 40%+ FP reduction via AI)</t>
        </is>
      </c>
      <c r="E53" s="19" t="n"/>
      <c r="F53" s="25">
        <f>IF(E53="","",E53)</f>
        <v/>
      </c>
      <c r="G53" s="21" t="n"/>
    </row>
    <row r="54" ht="115" customHeight="1">
      <c r="B54" s="16" t="inlineStr">
        <is>
          <t>T4-Q5</t>
        </is>
      </c>
      <c r="C54" s="27" t="inlineStr">
        <is>
          <t>Automation and Continuous Improvement</t>
        </is>
      </c>
      <c r="D54" s="18" t="inlineStr">
        <is>
          <t>How many detection lifecycle stages have automation or AI integration?
1 — None; all stages are manual
2 — 1 stage (e.g., deployment scripts only)
3 — 2-3 stages automated or AI-assisted
4 — 4-5 stages automated or AI-assisted
5 — All 6 stages with AI/LLM integration throughout</t>
        </is>
      </c>
      <c r="E54" s="19" t="n"/>
      <c r="F54" s="20">
        <f>IF(E54="","",E54)</f>
        <v/>
      </c>
      <c r="G54" s="21" t="n"/>
    </row>
    <row r="55" ht="20" customHeight="1">
      <c r="A55" s="28" t="n"/>
      <c r="B55" s="28" t="n"/>
      <c r="C55" s="28" t="n"/>
      <c r="D55" s="28" t="n"/>
      <c r="E55" s="28" t="n"/>
      <c r="F55" s="28" t="n"/>
      <c r="G55" s="28" t="n"/>
      <c r="H55" s="28" t="n"/>
    </row>
    <row r="56" ht="32" customHeight="1">
      <c r="B56" s="29" t="inlineStr">
        <is>
          <t>SUPPLEMENTARY DIMENSIONS — Organizational Readiness</t>
        </is>
      </c>
      <c r="C56" s="30" t="n"/>
      <c r="D56" s="30" t="n"/>
      <c r="E56" s="30" t="n"/>
      <c r="F56" s="30" t="n"/>
    </row>
    <row r="57" ht="22" customHeight="1">
      <c r="B57" s="31" t="inlineStr">
        <is>
          <t>These dimensions from detectionengineering.io assess people and process factors. They contribute to the overall score but do not affect DEBMM tier determination.</t>
        </is>
      </c>
      <c r="C57" s="30" t="n"/>
      <c r="D57" s="30" t="n"/>
      <c r="E57" s="30" t="n"/>
      <c r="F57" s="30" t="n"/>
    </row>
    <row r="58" ht="26" customHeight="1">
      <c r="B58" s="32" t="inlineStr">
        <is>
          <t>ID</t>
        </is>
      </c>
      <c r="C58" s="32" t="inlineStr">
        <is>
          <t>Criterion</t>
        </is>
      </c>
      <c r="D58" s="32" t="inlineStr">
        <is>
          <t>Question</t>
        </is>
      </c>
      <c r="E58" s="32" t="inlineStr">
        <is>
          <t>Answer</t>
        </is>
      </c>
      <c r="F58" s="32" t="inlineStr">
        <is>
          <t>Score</t>
        </is>
      </c>
      <c r="G58" s="32" t="inlineStr">
        <is>
          <t>Evidence / Notes</t>
        </is>
      </c>
    </row>
    <row r="59" ht="34" customHeight="1">
      <c r="B59" s="33" t="inlineStr">
        <is>
          <t xml:space="preserve">  PEOPLE &amp; ORGANIZATION</t>
        </is>
      </c>
      <c r="C59" s="34" t="n"/>
      <c r="D59" s="34" t="n"/>
      <c r="E59" s="34" t="n"/>
      <c r="F59" s="34" t="n"/>
      <c r="G59" s="34" t="n"/>
    </row>
    <row r="60" ht="20" customHeight="1">
      <c r="B60" s="31" t="inlineStr">
        <is>
          <t>Assesses the human and organizational factors that enable effective detection engineering, drawn from Kyle Bailey's Detection Engineering Maturity Matrix.</t>
        </is>
      </c>
      <c r="C60" s="30" t="n"/>
      <c r="D60" s="30" t="n"/>
      <c r="E60" s="30" t="n"/>
      <c r="F60" s="30" t="n"/>
    </row>
    <row r="61" ht="115" customHeight="1">
      <c r="B61" s="16" t="inlineStr">
        <is>
          <t>EP-Q1</t>
        </is>
      </c>
      <c r="C61" s="17" t="inlineStr">
        <is>
          <t>Team Structure and Dedicated Roles</t>
        </is>
      </c>
      <c r="D61" s="18" t="inlineStr">
        <is>
          <t>Rate the maturity of the assessed detection engineering team structure.
1 — No dedicated roles; detection work is a side task for SOC analysts or other staff (0 dedicated FTEs)
2 — One or more staff have detection engineering as a partial responsibility; no formal team or career path
3 — At least one dedicated detection engineering role or team established with clear responsibilities and defined career progression
4 — Established multi-person team with subject matter experts across key domains (host, network, cloud, application); defined career ladder
5 — Mature team with deep specialization, mentorship programs, and influence on organizational security strategy</t>
        </is>
      </c>
      <c r="E61" s="19" t="n"/>
      <c r="F61" s="20">
        <f>IF(E61="","",E61)</f>
        <v/>
      </c>
      <c r="G61" s="21" t="n"/>
    </row>
    <row r="62" ht="115" customHeight="1">
      <c r="B62" s="35" t="inlineStr">
        <is>
          <t>EP-Q2</t>
        </is>
      </c>
      <c r="C62" s="36" t="inlineStr">
        <is>
          <t>Skills Development and Training</t>
        </is>
      </c>
      <c r="D62" s="37" t="inlineStr">
        <is>
          <t>Rate the maturity of the assessed team's skills development.
1 — No formal training; learning is entirely self-directed with no organizational support or budget
2 — Ad hoc training; individuals may attend a conference or take a course occasionally but there is no structured program
3 — Written training plan with scheduled activities; regular knowledge sharing sessions (e.g., weekly/biweekly); defined skill requirements for roles
4 — Comprehensive program covering advanced topics; cross-training with IR, threat intel, and engineering teams; certifications supported and funded
5 — Continuous learning culture with community contribution (blog posts, conference talks), internal research programs, and mentorship</t>
        </is>
      </c>
      <c r="E62" s="19" t="n"/>
      <c r="F62" s="38">
        <f>IF(E62="","",E62)</f>
        <v/>
      </c>
      <c r="G62" s="21" t="n"/>
    </row>
    <row r="63" ht="115" customHeight="1">
      <c r="B63" s="16" t="inlineStr">
        <is>
          <t>EP-Q3</t>
        </is>
      </c>
      <c r="C63" s="17" t="inlineStr">
        <is>
          <t>Leadership Commitment and Executive Sponsorship</t>
        </is>
      </c>
      <c r="D63" s="18" t="inlineStr">
        <is>
          <t>Rate the executive sponsorship of the assessed detection engineering function.
1 — No executive awareness; detection engineering is not recognized as a distinct capability
2 — Some leadership awareness but no formal executive sponsor, no dedicated budget allocation
3 — Executive sponsor identified; dedicated budget for tooling and headcount; detection engineering formally recognized as a function
4 — Strong executive support; detection engineering metrics included in regular executive reporting; function influences security investment decisions
5 — Detection engineering is a strategic priority; board-level visibility; leadership actively champions the function across the organization</t>
        </is>
      </c>
      <c r="E63" s="19" t="n"/>
      <c r="F63" s="20">
        <f>IF(E63="","",E63)</f>
        <v/>
      </c>
      <c r="G63" s="21" t="n"/>
    </row>
    <row r="64" ht="35" customHeight="1">
      <c r="B64" s="35" t="inlineStr">
        <is>
          <t>EP-Q4</t>
        </is>
      </c>
      <c r="C64" s="39" t="inlineStr">
        <is>
          <t>Leadership Commitment and Executive Sponsorship</t>
        </is>
      </c>
      <c r="D64" s="37" t="inlineStr">
        <is>
          <t>Does the assessed team present metrics to executive leadership at least quarterly?</t>
        </is>
      </c>
      <c r="E64" s="19" t="n"/>
      <c r="F64" s="38">
        <f>IF(E64="Yes",3,IF(E64="No",1,""))</f>
        <v/>
      </c>
      <c r="G64" s="21" t="n"/>
    </row>
    <row r="65" ht="35" customHeight="1">
      <c r="B65" s="16" t="inlineStr">
        <is>
          <t>EP-Q5</t>
        </is>
      </c>
      <c r="C65" s="27" t="inlineStr">
        <is>
          <t>Leadership Commitment and Executive Sponsorship</t>
        </is>
      </c>
      <c r="D65" s="18" t="inlineStr">
        <is>
          <t>Has leadership made investment/staffing decisions based on the assessed team's metrics in the past year?</t>
        </is>
      </c>
      <c r="E65" s="19" t="n"/>
      <c r="F65" s="20">
        <f>IF(E65="Yes",4,IF(E65="No",1,""))</f>
        <v/>
      </c>
      <c r="G65" s="21" t="n"/>
    </row>
    <row r="66" ht="34" customHeight="1">
      <c r="B66" s="33" t="inlineStr">
        <is>
          <t xml:space="preserve">  PROCESS &amp; GOVERNANCE</t>
        </is>
      </c>
      <c r="C66" s="34" t="n"/>
      <c r="D66" s="34" t="n"/>
      <c r="E66" s="34" t="n"/>
      <c r="F66" s="34" t="n"/>
      <c r="G66" s="34" t="n"/>
    </row>
    <row r="67" ht="20" customHeight="1">
      <c r="B67" s="31" t="inlineStr">
        <is>
          <t>Assesses the process maturity and governance structures supporting detection engineering, drawn from Kyle Bailey's Detection Engineering Maturity Matrix.</t>
        </is>
      </c>
      <c r="C67" s="30" t="n"/>
      <c r="D67" s="30" t="n"/>
      <c r="E67" s="30" t="n"/>
      <c r="F67" s="30" t="n"/>
    </row>
    <row r="68" ht="115" customHeight="1">
      <c r="B68" s="16" t="inlineStr">
        <is>
          <t>EG-Q1</t>
        </is>
      </c>
      <c r="C68" s="17" t="inlineStr">
        <is>
          <t>Detection Lifecycle Workflow</t>
        </is>
      </c>
      <c r="D68" s="18" t="inlineStr">
        <is>
          <t>Rate the maturity of the assessed team's detection lifecycle workflow.
1 — No defined lifecycle; detections created and deployed without structured workflow
2 — Basic lifecycle covering creation and deployment only; no formal stages for review, testing, or retirement (2-3 stages defined)
3 — Full lifecycle defined and followed: request, development, review, testing, deployment, monitoring, and retirement (all 7 stages documented)
4 — Lifecycle enforced through tooling and automation; SLAs defined for each stage; cycle time and throughput metrics tracked
5 — Optimized lifecycle with automated stage transitions, predictive analytics for rule retirement, and continuous process improvement</t>
        </is>
      </c>
      <c r="E68" s="19" t="n"/>
      <c r="F68" s="20">
        <f>IF(E68="","",E68)</f>
        <v/>
      </c>
      <c r="G68" s="21" t="n"/>
    </row>
    <row r="69" ht="115" customHeight="1">
      <c r="B69" s="35" t="inlineStr">
        <is>
          <t>EG-Q2</t>
        </is>
      </c>
      <c r="C69" s="36" t="inlineStr">
        <is>
          <t>Metrics and KPI Tracking</t>
        </is>
      </c>
      <c r="D69" s="37" t="inlineStr">
        <is>
          <t>Rate the maturity of the assessed team's metrics program.
1 — No metrics tracked; success is anecdotal or unmeasured
2 — 1-2 basic metrics tracked informally (e.g., rule count, alert volume); no formal KPI program or dashboards
3 — 3-5 defined KPIs covering key areas with quarterly reporting and dashboards (e.g., coverage %, FP rate, deployment velocity)
4 — 5+ KPIs with automated collection, trending, and correlation; metrics actively drive decision-making and resource allocation
5 — Advanced analytics with predictive metrics, industry benchmarking, and data-driven continuous optimization</t>
        </is>
      </c>
      <c r="E69" s="19" t="n"/>
      <c r="F69" s="38">
        <f>IF(E69="","",E69)</f>
        <v/>
      </c>
      <c r="G69" s="21" t="n"/>
    </row>
    <row r="70" ht="115" customHeight="1">
      <c r="B70" s="16" t="inlineStr">
        <is>
          <t>EG-Q3</t>
        </is>
      </c>
      <c r="C70" s="27" t="inlineStr">
        <is>
          <t>Metrics and KPI Tracking</t>
        </is>
      </c>
      <c r="D70" s="18" t="inlineStr">
        <is>
          <t>How many of these KPI categories does the assessed team track: coverage, quality, velocity, rule health, analyst impact?
1 — None of these are tracked
2 — 1 category tracked
3 — 2-3 categories tracked with regular reporting
4 — 4-5 categories tracked with automated collection and dashboards
5 — All 5 categories plus additional metrics with trend analysis and benchmarking</t>
        </is>
      </c>
      <c r="E70" s="19" t="n"/>
      <c r="F70" s="20">
        <f>IF(E70="","",E70)</f>
        <v/>
      </c>
      <c r="G70" s="21" t="n"/>
    </row>
    <row r="71" ht="115" customHeight="1">
      <c r="B71" s="35" t="inlineStr">
        <is>
          <t>EG-Q4</t>
        </is>
      </c>
      <c r="C71" s="36" t="inlineStr">
        <is>
          <t>Cross-Team Collaboration</t>
        </is>
      </c>
      <c r="D71" s="37" t="inlineStr">
        <is>
          <t>Rate cross-team collaboration involving the assessed detection engineering function.
1 — Operates in isolation; no structured collaboration with other teams
2 — Ad hoc collaboration, typically reactive to incidents or specific requests (no scheduled touchpoints)
3 — Regular collaboration through defined channels; scheduled touchpoints at least monthly with IR and threat intel teams
4 — Deep integration with joint planning sessions at least quarterly, shared OKRs/objectives, and integrated workflows (e.g., threat intel feeds directly inform detection priorities)
5 — Seamless cross-functional collaboration with automated information sharing, shared metrics dashboards, and embedded team members</t>
        </is>
      </c>
      <c r="E71" s="19" t="n"/>
      <c r="F71" s="38">
        <f>IF(E71="","",E71)</f>
        <v/>
      </c>
      <c r="G71" s="21" t="n"/>
    </row>
  </sheetData>
  <mergeCells count="25">
    <mergeCell ref="B59:F59"/>
    <mergeCell ref="B66:F66"/>
    <mergeCell ref="B22:F22"/>
    <mergeCell ref="A1:H1"/>
    <mergeCell ref="B56:F56"/>
    <mergeCell ref="D6:E6"/>
    <mergeCell ref="B48:F48"/>
    <mergeCell ref="B11:F11"/>
    <mergeCell ref="B42:F42"/>
    <mergeCell ref="B60:F60"/>
    <mergeCell ref="B67:F67"/>
    <mergeCell ref="B23:F23"/>
    <mergeCell ref="B14:F14"/>
    <mergeCell ref="B13:F13"/>
    <mergeCell ref="B57:F57"/>
    <mergeCell ref="D7:E7"/>
    <mergeCell ref="B34:F34"/>
    <mergeCell ref="B10:F10"/>
    <mergeCell ref="A2:H2"/>
    <mergeCell ref="D4:E4"/>
    <mergeCell ref="B49:F49"/>
    <mergeCell ref="D8:E8"/>
    <mergeCell ref="B33:F33"/>
    <mergeCell ref="D5:E5"/>
    <mergeCell ref="B41:F41"/>
  </mergeCells>
  <conditionalFormatting sqref="F13:F71">
    <cfRule type="cellIs" priority="1" operator="between" dxfId="0">
      <formula>1</formula>
      <formula>1.49</formula>
    </cfRule>
    <cfRule type="cellIs" priority="2" operator="between" dxfId="1">
      <formula>1.5</formula>
      <formula>2.49</formula>
    </cfRule>
    <cfRule type="cellIs" priority="3" operator="between" dxfId="2">
      <formula>2.5</formula>
      <formula>3.49</formula>
    </cfRule>
    <cfRule type="cellIs" priority="4" operator="between" dxfId="3">
      <formula>3.5</formula>
      <formula>5</formula>
    </cfRule>
  </conditionalFormatting>
  <dataValidations count="3">
    <dataValidation sqref="D8" showDropDown="0" showInputMessage="0" showErrorMessage="0" allowBlank="0" errorTitle="Invalid Entry" error="Please select Self-Assessment or Audit" type="list">
      <formula1>"Self-Assessment,Audit"</formula1>
    </dataValidation>
    <dataValidation sqref="E16 E20 E21 E28 E29 E38 E39 E51 E52 E64 E65" showDropDown="0" showInputMessage="0" showErrorMessage="0" allowBlank="1" errorTitle="Invalid Entry" error="Please select Yes or No" promptTitle="Answer" prompt="Select Yes or No" type="list">
      <formula1>"Yes,No"</formula1>
    </dataValidation>
    <dataValidation sqref="E15 E17 E18 E19 E24 E25 E26 E27 E30 E31 E32 E35 E36 E37 E40 E43 E44 E45 E46 E47 E50 E53 E54 E61 E62 E63 E68 E69 E70 E71" showDropDown="0" showInputMessage="0" showErrorMessage="0" allowBlank="1" errorTitle="Invalid Entry" error="Please select a value from 1 to 5" promptTitle="Maturity Rating" prompt="Select 1 (Initial) through 5 (Optimized)" type="list">
      <formula1>"1,2,3,4,5"</formula1>
    </dataValidation>
  </dataValidation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3" customWidth="1" min="1" max="1"/>
    <col width="6" customWidth="1" min="2" max="2"/>
    <col width="34" customWidth="1" min="3" max="3"/>
    <col width="14" customWidth="1" min="4" max="4"/>
    <col width="14" customWidth="1" min="5" max="5"/>
    <col width="14" customWidth="1" min="6" max="6"/>
    <col width="3" customWidth="1" min="7" max="7"/>
  </cols>
  <sheetData>
    <row r="1" ht="56" customHeight="1">
      <c r="A1" s="1" t="inlineStr">
        <is>
          <t xml:space="preserve">  DEBMM Assessment Results</t>
        </is>
      </c>
      <c r="B1" s="2" t="n"/>
      <c r="C1" s="2" t="n"/>
      <c r="D1" s="2" t="n"/>
      <c r="E1" s="2" t="n"/>
      <c r="F1" s="2" t="n"/>
      <c r="G1" s="2" t="n"/>
    </row>
    <row r="2" ht="24" customHeight="1">
      <c r="A2" s="3">
        <f>"  "&amp;Assessment!D4</f>
        <v/>
      </c>
      <c r="B2" s="4" t="n"/>
      <c r="C2" s="4" t="n"/>
      <c r="D2" s="4" t="n"/>
      <c r="E2" s="4" t="n"/>
      <c r="F2" s="4" t="n"/>
      <c r="G2" s="4" t="n"/>
    </row>
    <row r="5" ht="22" customHeight="1">
      <c r="B5" s="40" t="inlineStr">
        <is>
          <t>Overall Maturity Score</t>
        </is>
      </c>
      <c r="C5" s="41" t="n"/>
      <c r="D5" s="40" t="inlineStr">
        <is>
          <t>Achieved DEBMM Tier</t>
        </is>
      </c>
      <c r="E5" s="41" t="n"/>
      <c r="F5" s="40" t="inlineStr">
        <is>
          <t>Completion</t>
        </is>
      </c>
    </row>
    <row r="6" ht="60" customHeight="1">
      <c r="B6" s="42">
        <f>IF(COUNT(D13,D14,D15,D16,D18,D19,D20,D21,D22,D23,D25,D26,D27,D29,D30,D31,D33,D34,D40,D41,D42,D44,D45,D46)=0,"",ROUND(AVERAGE(D13,D14,D15,D16,D18,D19,D20,D21,D22,D23,D25,D26,D27,D29,D30,D31,D33,D34,D40,D41,D42,D44,D45,D46),2)&amp;" / 5.0")</f>
        <v/>
      </c>
      <c r="C6" s="43" t="n"/>
      <c r="D6" s="44">
        <f>IF(AND(AND(ISNUMBER(D13),D13&gt;=3,ISNUMBER(D14),D14&gt;=3,ISNUMBER(D15),D15&gt;=3,ISNUMBER(D16),D16&gt;=3),AND(ISNUMBER(D18),D18&gt;=3,ISNUMBER(D19),D19&gt;=3,ISNUMBER(D20),D20&gt;=3,ISNUMBER(D21),D21&gt;=3,ISNUMBER(D22),D22&gt;=3,ISNUMBER(D23),D23&gt;=3),AND(ISNUMBER(D25),D25&gt;=3,ISNUMBER(D26),D26&gt;=3,ISNUMBER(D27),D27&gt;=3),AND(ISNUMBER(D29),D29&gt;=3,ISNUMBER(D30),D30&gt;=3,ISNUMBER(D31),D31&gt;=3),AND(ISNUMBER(D33),D33&gt;=3,ISNUMBER(D34),D34&gt;=3)),"Tier 4: Expert",IF(AND(AND(ISNUMBER(D13),D13&gt;=3,ISNUMBER(D14),D14&gt;=3,ISNUMBER(D15),D15&gt;=3,ISNUMBER(D16),D16&gt;=3),AND(ISNUMBER(D18),D18&gt;=3,ISNUMBER(D19),D19&gt;=3,ISNUMBER(D20),D20&gt;=3,ISNUMBER(D21),D21&gt;=3,ISNUMBER(D22),D22&gt;=3,ISNUMBER(D23),D23&gt;=3),AND(ISNUMBER(D25),D25&gt;=3,ISNUMBER(D26),D26&gt;=3,ISNUMBER(D27),D27&gt;=3),AND(ISNUMBER(D29),D29&gt;=3,ISNUMBER(D30),D30&gt;=3,ISNUMBER(D31),D31&gt;=3)),"Tier 3: Advanced",IF(AND(AND(ISNUMBER(D13),D13&gt;=3,ISNUMBER(D14),D14&gt;=3,ISNUMBER(D15),D15&gt;=3,ISNUMBER(D16),D16&gt;=3),AND(ISNUMBER(D18),D18&gt;=3,ISNUMBER(D19),D19&gt;=3,ISNUMBER(D20),D20&gt;=3,ISNUMBER(D21),D21&gt;=3,ISNUMBER(D22),D22&gt;=3,ISNUMBER(D23),D23&gt;=3),AND(ISNUMBER(D25),D25&gt;=3,ISNUMBER(D26),D26&gt;=3,ISNUMBER(D27),D27&gt;=3)),"Tier 2: Intermediate",IF(AND(AND(ISNUMBER(D13),D13&gt;=3,ISNUMBER(D14),D14&gt;=3,ISNUMBER(D15),D15&gt;=3,ISNUMBER(D16),D16&gt;=3),AND(ISNUMBER(D18),D18&gt;=3,ISNUMBER(D19),D19&gt;=3,ISNUMBER(D20),D20&gt;=3,ISNUMBER(D21),D21&gt;=3,ISNUMBER(D22),D22&gt;=3,ISNUMBER(D23),D23&gt;=3)),"Tier 1: Basic",IF(AND(AND(ISNUMBER(D13),D13&gt;=3,ISNUMBER(D14),D14&gt;=3,ISNUMBER(D15),D15&gt;=3,ISNUMBER(D16),D16&gt;=3)),"Tier 0: Foundation","Below Foundation")))))</f>
        <v/>
      </c>
      <c r="E6" s="43" t="n"/>
      <c r="F6" s="44">
        <f>COUNTA(Assessment!E15,Assessment!E16,Assessment!E17,Assessment!E18,Assessment!E19,Assessment!E20,Assessment!E21,Assessment!E24,Assessment!E25,Assessment!E26,Assessment!E27,Assessment!E28,Assessment!E29,Assessment!E30,Assessment!E31,Assessment!E32,Assessment!E35,Assessment!E36,Assessment!E37,Assessment!E38,Assessment!E39,Assessment!E40,Assessment!E43,Assessment!E44,Assessment!E45,Assessment!E46,Assessment!E47,Assessment!E50,Assessment!E51,Assessment!E52,Assessment!E53,Assessment!E54,Assessment!E61,Assessment!E62,Assessment!E63,Assessment!E64,Assessment!E65,Assessment!E68,Assessment!E69,Assessment!E70,Assessment!E71)&amp;" / 41"</f>
        <v/>
      </c>
    </row>
    <row r="7" ht="8" customHeight="1"/>
    <row r="8" ht="62" customHeight="1">
      <c r="B8" s="45">
        <f>IF(D6="","",IF(D6="Tier 4: Expert","Your organization has achieved Tier 4 (Expert)—the highest DEBMM tier. Your detection engineering program is mature across all dimensions: proactive threat hunting, automation of key lifecycle stages, and continuous improvement driven by data. Focus on sustaining this level and contributing to the broader detection engineering community.",IF(D6="Tier 3: Advanced","Your organization has achieved Tier 3 (Advanced). You have a highly capable detection program with systematic FN reduction, external validation, and behavioral detection of advanced TTPs. To reach Tier 4, develop proactive threat hunting capabilities, adopt hypothesis-driven hunting workflows, and integrate automation and AI across the detection lifecycle.",IF(D6="Tier 2: Intermediate","Your organization has achieved Tier 2 (Intermediate). Your detection program has mature processes for rule development, telemetry management, false positive reduction, and gap analysis. To advance to Tier 3, invest in false negative triage, external validation (e.g., purple team exercises), and coverage of advanced TTPs.",IF(D6="Tier 1: Basic","Your organization has achieved Tier 1 (Basic). You have solid foundations and basic detection capabilities in place, including baseline rules, telemetry coverage, and release testing at the Defined level. To advance to Tier 2, focus on systematic false positive reduction, formal gap analysis, and internal testing and validation.",IF(D6="Tier 0: Foundation","Your organization has achieved Tier 0 (Foundation). All foundational criteria meet the Defined level, meaning you have documented processes for rule development, maintenance, roadmaps, and threat modeling. To reach Tier 1, ensure your baseline rules, telemetry quality, threat landscape reviews, and release testing also reach the Defined level.","Your organization has not yet achieved Tier 0 (Foundation). This means one or more foundational criteria—such as structured rule development, rule maintenance, roadmap documentation, or threat modeling—score below the Defined level (3.0). Focus on establishing basic, repeatable processes in these areas before advancing to higher tiers."))))))</f>
        <v/>
      </c>
      <c r="C8" s="28" t="n"/>
      <c r="D8" s="28" t="n"/>
      <c r="E8" s="28" t="n"/>
      <c r="F8" s="28" t="n"/>
    </row>
    <row r="10" ht="30" customHeight="1">
      <c r="B10" s="15" t="inlineStr">
        <is>
          <t xml:space="preserve">  DEBMM CORE ASSESSMENT</t>
        </is>
      </c>
      <c r="C10" s="4" t="n"/>
      <c r="D10" s="4" t="n"/>
      <c r="E10" s="4" t="n"/>
      <c r="F10" s="4" t="n"/>
    </row>
    <row r="11" ht="24" customHeight="1">
      <c r="C11" s="14" t="inlineStr">
        <is>
          <t>Category / Criterion</t>
        </is>
      </c>
      <c r="D11" s="14" t="inlineStr">
        <is>
          <t>Score</t>
        </is>
      </c>
      <c r="E11" s="14" t="inlineStr">
        <is>
          <t>Level</t>
        </is>
      </c>
      <c r="F11" s="14" t="inlineStr">
        <is>
          <t>Status</t>
        </is>
      </c>
    </row>
    <row r="12" ht="28" customHeight="1">
      <c r="C12" s="46" t="inlineStr">
        <is>
          <t>Foundation</t>
        </is>
      </c>
      <c r="D12" s="47">
        <f>IF(COUNT(D13,D14,D15,D16)=0,"",AVERAGE(D13,D14,D15,D16))</f>
        <v/>
      </c>
      <c r="E12" s="48">
        <f>IF(D12="","",IF(D12&gt;=4.5,"Optimized",IF(D12&gt;=3.5,"Managed",IF(D12&gt;=2.5,"Defined",IF(D12&gt;=1.5,"Repeatable","Initial")))))</f>
        <v/>
      </c>
      <c r="F12" s="48">
        <f>IF(D12="","",IF(D12&gt;=3,"✓ Pass","✗ Below Target"))</f>
        <v/>
      </c>
    </row>
    <row r="13">
      <c r="C13" s="49" t="inlineStr">
        <is>
          <t xml:space="preserve">    Structured Rule Development Approach</t>
        </is>
      </c>
      <c r="D13" s="50">
        <f>IF(COUNT(Assessment!F15,Assessment!F16)=0,"",AVERAGE(Assessment!F15,Assessment!F16))</f>
        <v/>
      </c>
      <c r="E13" s="51">
        <f>IF(D13="","",IF(D13&gt;=4.5,"Optimized",IF(D13&gt;=3.5,"Managed",IF(D13&gt;=2.5,"Defined",IF(D13&gt;=1.5,"Repeatable","Initial")))))</f>
        <v/>
      </c>
      <c r="F13" s="51">
        <f>IF(D13="","",IF(D13&gt;=3,"✓ Pass","✗ Below Target"))</f>
        <v/>
      </c>
    </row>
    <row r="14">
      <c r="C14" s="49" t="inlineStr">
        <is>
          <t xml:space="preserve">    Rule Creation and Maintenance</t>
        </is>
      </c>
      <c r="D14" s="50">
        <f>IF(COUNT(Assessment!F17)=0,"",AVERAGE(Assessment!F17))</f>
        <v/>
      </c>
      <c r="E14" s="51">
        <f>IF(D14="","",IF(D14&gt;=4.5,"Optimized",IF(D14&gt;=3.5,"Managed",IF(D14&gt;=2.5,"Defined",IF(D14&gt;=1.5,"Repeatable","Initial")))))</f>
        <v/>
      </c>
      <c r="F14" s="51">
        <f>IF(D14="","",IF(D14&gt;=3,"✓ Pass","✗ Below Target"))</f>
        <v/>
      </c>
    </row>
    <row r="15">
      <c r="C15" s="49" t="inlineStr">
        <is>
          <t xml:space="preserve">    Roadmap Documentation</t>
        </is>
      </c>
      <c r="D15" s="50">
        <f>IF(COUNT(Assessment!F18)=0,"",AVERAGE(Assessment!F18))</f>
        <v/>
      </c>
      <c r="E15" s="51">
        <f>IF(D15="","",IF(D15&gt;=4.5,"Optimized",IF(D15&gt;=3.5,"Managed",IF(D15&gt;=2.5,"Defined",IF(D15&gt;=1.5,"Repeatable","Initial")))))</f>
        <v/>
      </c>
      <c r="F15" s="51">
        <f>IF(D15="","",IF(D15&gt;=3,"✓ Pass","✗ Below Target"))</f>
        <v/>
      </c>
    </row>
    <row r="16">
      <c r="C16" s="49" t="inlineStr">
        <is>
          <t xml:space="preserve">    Threat Modeling</t>
        </is>
      </c>
      <c r="D16" s="50">
        <f>IF(COUNT(Assessment!F19,Assessment!F20,Assessment!F21)=0,"",AVERAGE(Assessment!F19,Assessment!F20,Assessment!F21))</f>
        <v/>
      </c>
      <c r="E16" s="51">
        <f>IF(D16="","",IF(D16&gt;=4.5,"Optimized",IF(D16&gt;=3.5,"Managed",IF(D16&gt;=2.5,"Defined",IF(D16&gt;=1.5,"Repeatable","Initial")))))</f>
        <v/>
      </c>
      <c r="F16" s="51">
        <f>IF(D16="","",IF(D16&gt;=3,"✓ Pass","✗ Below Target"))</f>
        <v/>
      </c>
    </row>
    <row r="17" ht="28" customHeight="1">
      <c r="C17" s="46" t="inlineStr">
        <is>
          <t>Basic</t>
        </is>
      </c>
      <c r="D17" s="47">
        <f>IF(COUNT(D18,D19,D20,D21,D22,D23)=0,"",AVERAGE(D18,D19,D20,D21,D22,D23))</f>
        <v/>
      </c>
      <c r="E17" s="48">
        <f>IF(D17="","",IF(D17&gt;=4.5,"Optimized",IF(D17&gt;=3.5,"Managed",IF(D17&gt;=2.5,"Defined",IF(D17&gt;=1.5,"Repeatable","Initial")))))</f>
        <v/>
      </c>
      <c r="F17" s="48">
        <f>IF(D17="","",IF(D17&gt;=3,"✓ Pass","✗ Below Target"))</f>
        <v/>
      </c>
    </row>
    <row r="18">
      <c r="C18" s="49" t="inlineStr">
        <is>
          <t xml:space="preserve">    Baseline Rule Creation</t>
        </is>
      </c>
      <c r="D18" s="50">
        <f>IF(COUNT(Assessment!F24,Assessment!F25)=0,"",AVERAGE(Assessment!F24,Assessment!F25))</f>
        <v/>
      </c>
      <c r="E18" s="51">
        <f>IF(D18="","",IF(D18&gt;=4.5,"Optimized",IF(D18&gt;=3.5,"Managed",IF(D18&gt;=2.5,"Defined",IF(D18&gt;=1.5,"Repeatable","Initial")))))</f>
        <v/>
      </c>
      <c r="F18" s="51">
        <f>IF(D18="","",IF(D18&gt;=3,"✓ Pass","✗ Below Target"))</f>
        <v/>
      </c>
    </row>
    <row r="19">
      <c r="C19" s="49" t="inlineStr">
        <is>
          <t xml:space="preserve">    Ruleset Management and Maintenance</t>
        </is>
      </c>
      <c r="D19" s="50">
        <f>IF(COUNT(Assessment!F26)=0,"",AVERAGE(Assessment!F26))</f>
        <v/>
      </c>
      <c r="E19" s="51">
        <f>IF(D19="","",IF(D19&gt;=4.5,"Optimized",IF(D19&gt;=3.5,"Managed",IF(D19&gt;=2.5,"Defined",IF(D19&gt;=1.5,"Repeatable","Initial")))))</f>
        <v/>
      </c>
      <c r="F19" s="51">
        <f>IF(D19="","",IF(D19&gt;=3,"✓ Pass","✗ Below Target"))</f>
        <v/>
      </c>
    </row>
    <row r="20">
      <c r="C20" s="49" t="inlineStr">
        <is>
          <t xml:space="preserve">    Telemetry Quality</t>
        </is>
      </c>
      <c r="D20" s="50">
        <f>IF(COUNT(Assessment!F27,Assessment!F28,Assessment!F29)=0,"",AVERAGE(Assessment!F27,Assessment!F28,Assessment!F29))</f>
        <v/>
      </c>
      <c r="E20" s="51">
        <f>IF(D20="","",IF(D20&gt;=4.5,"Optimized",IF(D20&gt;=3.5,"Managed",IF(D20&gt;=2.5,"Defined",IF(D20&gt;=1.5,"Repeatable","Initial")))))</f>
        <v/>
      </c>
      <c r="F20" s="51">
        <f>IF(D20="","",IF(D20&gt;=3,"✓ Pass","✗ Below Target"))</f>
        <v/>
      </c>
    </row>
    <row r="21">
      <c r="C21" s="49" t="inlineStr">
        <is>
          <t xml:space="preserve">    Threat Landscape Review</t>
        </is>
      </c>
      <c r="D21" s="50">
        <f>IF(COUNT(Assessment!F30)=0,"",AVERAGE(Assessment!F30))</f>
        <v/>
      </c>
      <c r="E21" s="51">
        <f>IF(D21="","",IF(D21&gt;=4.5,"Optimized",IF(D21&gt;=3.5,"Managed",IF(D21&gt;=2.5,"Defined",IF(D21&gt;=1.5,"Repeatable","Initial")))))</f>
        <v/>
      </c>
      <c r="F21" s="51">
        <f>IF(D21="","",IF(D21&gt;=3,"✓ Pass","✗ Below Target"))</f>
        <v/>
      </c>
    </row>
    <row r="22">
      <c r="C22" s="49" t="inlineStr">
        <is>
          <t xml:space="preserve">    Product Owner Engagement</t>
        </is>
      </c>
      <c r="D22" s="50">
        <f>IF(COUNT(Assessment!F31)=0,"",AVERAGE(Assessment!F31))</f>
        <v/>
      </c>
      <c r="E22" s="51">
        <f>IF(D22="","",IF(D22&gt;=4.5,"Optimized",IF(D22&gt;=3.5,"Managed",IF(D22&gt;=2.5,"Defined",IF(D22&gt;=1.5,"Repeatable","Initial")))))</f>
        <v/>
      </c>
      <c r="F22" s="51">
        <f>IF(D22="","",IF(D22&gt;=3,"✓ Pass","✗ Below Target"))</f>
        <v/>
      </c>
    </row>
    <row r="23">
      <c r="C23" s="49" t="inlineStr">
        <is>
          <t xml:space="preserve">    Release Testing and Validation</t>
        </is>
      </c>
      <c r="D23" s="50">
        <f>IF(COUNT(Assessment!F32)=0,"",AVERAGE(Assessment!F32))</f>
        <v/>
      </c>
      <c r="E23" s="51">
        <f>IF(D23="","",IF(D23&gt;=4.5,"Optimized",IF(D23&gt;=3.5,"Managed",IF(D23&gt;=2.5,"Defined",IF(D23&gt;=1.5,"Repeatable","Initial")))))</f>
        <v/>
      </c>
      <c r="F23" s="51">
        <f>IF(D23="","",IF(D23&gt;=3,"✓ Pass","✗ Below Target"))</f>
        <v/>
      </c>
    </row>
    <row r="24" ht="28" customHeight="1">
      <c r="C24" s="46" t="inlineStr">
        <is>
          <t>Intermediate</t>
        </is>
      </c>
      <c r="D24" s="47">
        <f>IF(COUNT(D25,D26,D27)=0,"",AVERAGE(D25,D26,D27))</f>
        <v/>
      </c>
      <c r="E24" s="48">
        <f>IF(D24="","",IF(D24&gt;=4.5,"Optimized",IF(D24&gt;=3.5,"Managed",IF(D24&gt;=2.5,"Defined",IF(D24&gt;=1.5,"Repeatable","Initial")))))</f>
        <v/>
      </c>
      <c r="F24" s="48">
        <f>IF(D24="","",IF(D24&gt;=3,"✓ Pass","✗ Below Target"))</f>
        <v/>
      </c>
    </row>
    <row r="25">
      <c r="C25" s="49" t="inlineStr">
        <is>
          <t xml:space="preserve">    False Positive Tuning and Reduction</t>
        </is>
      </c>
      <c r="D25" s="50">
        <f>IF(COUNT(Assessment!F35,Assessment!F36)=0,"",AVERAGE(Assessment!F35,Assessment!F36))</f>
        <v/>
      </c>
      <c r="E25" s="51">
        <f>IF(D25="","",IF(D25&gt;=4.5,"Optimized",IF(D25&gt;=3.5,"Managed",IF(D25&gt;=2.5,"Defined",IF(D25&gt;=1.5,"Repeatable","Initial")))))</f>
        <v/>
      </c>
      <c r="F25" s="51">
        <f>IF(D25="","",IF(D25&gt;=3,"✓ Pass","✗ Below Target"))</f>
        <v/>
      </c>
    </row>
    <row r="26">
      <c r="C26" s="49" t="inlineStr">
        <is>
          <t xml:space="preserve">    Gap Analysis and Documentation</t>
        </is>
      </c>
      <c r="D26" s="50">
        <f>IF(COUNT(Assessment!F37,Assessment!F38,Assessment!F39)=0,"",AVERAGE(Assessment!F37,Assessment!F38,Assessment!F39))</f>
        <v/>
      </c>
      <c r="E26" s="51">
        <f>IF(D26="","",IF(D26&gt;=4.5,"Optimized",IF(D26&gt;=3.5,"Managed",IF(D26&gt;=2.5,"Defined",IF(D26&gt;=1.5,"Repeatable","Initial")))))</f>
        <v/>
      </c>
      <c r="F26" s="51">
        <f>IF(D26="","",IF(D26&gt;=3,"✓ Pass","✗ Below Target"))</f>
        <v/>
      </c>
    </row>
    <row r="27">
      <c r="C27" s="49" t="inlineStr">
        <is>
          <t xml:space="preserve">    Internal Testing and Validation</t>
        </is>
      </c>
      <c r="D27" s="50">
        <f>IF(COUNT(Assessment!F40)=0,"",AVERAGE(Assessment!F40))</f>
        <v/>
      </c>
      <c r="E27" s="51">
        <f>IF(D27="","",IF(D27&gt;=4.5,"Optimized",IF(D27&gt;=3.5,"Managed",IF(D27&gt;=2.5,"Defined",IF(D27&gt;=1.5,"Repeatable","Initial")))))</f>
        <v/>
      </c>
      <c r="F27" s="51">
        <f>IF(D27="","",IF(D27&gt;=3,"✓ Pass","✗ Below Target"))</f>
        <v/>
      </c>
    </row>
    <row r="28" ht="28" customHeight="1">
      <c r="C28" s="46" t="inlineStr">
        <is>
          <t>Advanced</t>
        </is>
      </c>
      <c r="D28" s="47">
        <f>IF(COUNT(D29,D30,D31)=0,"",AVERAGE(D29,D30,D31))</f>
        <v/>
      </c>
      <c r="E28" s="48">
        <f>IF(D28="","",IF(D28&gt;=4.5,"Optimized",IF(D28&gt;=3.5,"Managed",IF(D28&gt;=2.5,"Defined",IF(D28&gt;=1.5,"Repeatable","Initial")))))</f>
        <v/>
      </c>
      <c r="F28" s="48">
        <f>IF(D28="","",IF(D28&gt;=3,"✓ Pass","✗ Below Target"))</f>
        <v/>
      </c>
    </row>
    <row r="29">
      <c r="C29" s="49" t="inlineStr">
        <is>
          <t xml:space="preserve">    False Negative Triage</t>
        </is>
      </c>
      <c r="D29" s="50">
        <f>IF(COUNT(Assessment!F43,Assessment!F44)=0,"",AVERAGE(Assessment!F43,Assessment!F44))</f>
        <v/>
      </c>
      <c r="E29" s="51">
        <f>IF(D29="","",IF(D29&gt;=4.5,"Optimized",IF(D29&gt;=3.5,"Managed",IF(D29&gt;=2.5,"Defined",IF(D29&gt;=1.5,"Repeatable","Initial")))))</f>
        <v/>
      </c>
      <c r="F29" s="51">
        <f>IF(D29="","",IF(D29&gt;=3,"✓ Pass","✗ Below Target"))</f>
        <v/>
      </c>
    </row>
    <row r="30">
      <c r="C30" s="49" t="inlineStr">
        <is>
          <t xml:space="preserve">    External Validation</t>
        </is>
      </c>
      <c r="D30" s="50">
        <f>IF(COUNT(Assessment!F45)=0,"",AVERAGE(Assessment!F45))</f>
        <v/>
      </c>
      <c r="E30" s="51">
        <f>IF(D30="","",IF(D30&gt;=4.5,"Optimized",IF(D30&gt;=3.5,"Managed",IF(D30&gt;=2.5,"Defined",IF(D30&gt;=1.5,"Repeatable","Initial")))))</f>
        <v/>
      </c>
      <c r="F30" s="51">
        <f>IF(D30="","",IF(D30&gt;=3,"✓ Pass","✗ Below Target"))</f>
        <v/>
      </c>
    </row>
    <row r="31">
      <c r="C31" s="49" t="inlineStr">
        <is>
          <t xml:space="preserve">    Advanced TTP Coverage</t>
        </is>
      </c>
      <c r="D31" s="50">
        <f>IF(COUNT(Assessment!F46,Assessment!F47)=0,"",AVERAGE(Assessment!F46,Assessment!F47))</f>
        <v/>
      </c>
      <c r="E31" s="51">
        <f>IF(D31="","",IF(D31&gt;=4.5,"Optimized",IF(D31&gt;=3.5,"Managed",IF(D31&gt;=2.5,"Defined",IF(D31&gt;=1.5,"Repeatable","Initial")))))</f>
        <v/>
      </c>
      <c r="F31" s="51">
        <f>IF(D31="","",IF(D31&gt;=3,"✓ Pass","✗ Below Target"))</f>
        <v/>
      </c>
    </row>
    <row r="32" ht="28" customHeight="1">
      <c r="C32" s="46" t="inlineStr">
        <is>
          <t>Expert</t>
        </is>
      </c>
      <c r="D32" s="47">
        <f>IF(COUNT(D33,D34)=0,"",AVERAGE(D33,D34))</f>
        <v/>
      </c>
      <c r="E32" s="48">
        <f>IF(D32="","",IF(D32&gt;=4.5,"Optimized",IF(D32&gt;=3.5,"Managed",IF(D32&gt;=2.5,"Defined",IF(D32&gt;=1.5,"Repeatable","Initial")))))</f>
        <v/>
      </c>
      <c r="F32" s="48">
        <f>IF(D32="","",IF(D32&gt;=3,"✓ Pass","✗ Below Target"))</f>
        <v/>
      </c>
    </row>
    <row r="33">
      <c r="C33" s="49" t="inlineStr">
        <is>
          <t xml:space="preserve">    Threat Hunting in Telemetry</t>
        </is>
      </c>
      <c r="D33" s="50">
        <f>IF(COUNT(Assessment!F50,Assessment!F51,Assessment!F52)=0,"",AVERAGE(Assessment!F50,Assessment!F51,Assessment!F52))</f>
        <v/>
      </c>
      <c r="E33" s="51">
        <f>IF(D33="","",IF(D33&gt;=4.5,"Optimized",IF(D33&gt;=3.5,"Managed",IF(D33&gt;=2.5,"Defined",IF(D33&gt;=1.5,"Repeatable","Initial")))))</f>
        <v/>
      </c>
      <c r="F33" s="51">
        <f>IF(D33="","",IF(D33&gt;=3,"✓ Pass","✗ Below Target"))</f>
        <v/>
      </c>
    </row>
    <row r="34">
      <c r="C34" s="49" t="inlineStr">
        <is>
          <t xml:space="preserve">    Automation and Continuous Improvement</t>
        </is>
      </c>
      <c r="D34" s="50">
        <f>IF(COUNT(Assessment!F53,Assessment!F54)=0,"",AVERAGE(Assessment!F53,Assessment!F54))</f>
        <v/>
      </c>
      <c r="E34" s="51">
        <f>IF(D34="","",IF(D34&gt;=4.5,"Optimized",IF(D34&gt;=3.5,"Managed",IF(D34&gt;=2.5,"Defined",IF(D34&gt;=1.5,"Repeatable","Initial")))))</f>
        <v/>
      </c>
      <c r="F34" s="51">
        <f>IF(D34="","",IF(D34&gt;=3,"✓ Pass","✗ Below Target"))</f>
        <v/>
      </c>
    </row>
    <row r="35" ht="14" customHeight="1">
      <c r="A35" s="28" t="n"/>
      <c r="B35" s="28" t="n"/>
      <c r="C35" s="28" t="n"/>
      <c r="D35" s="28" t="n"/>
      <c r="E35" s="28" t="n"/>
      <c r="F35" s="28" t="n"/>
      <c r="G35" s="28" t="n"/>
    </row>
    <row r="36" ht="30" customHeight="1">
      <c r="B36" s="33" t="inlineStr">
        <is>
          <t xml:space="preserve">  SUPPLEMENTARY DIMENSIONS</t>
        </is>
      </c>
      <c r="C36" s="34" t="n"/>
      <c r="D36" s="34" t="n"/>
      <c r="E36" s="34" t="n"/>
      <c r="F36" s="34" t="n"/>
    </row>
    <row r="37" ht="20" customHeight="1">
      <c r="B37" s="31" t="inlineStr">
        <is>
          <t>Organizational readiness factors — do not affect DEBMM tier determination</t>
        </is>
      </c>
      <c r="C37" s="30" t="n"/>
      <c r="D37" s="30" t="n"/>
      <c r="E37" s="30" t="n"/>
      <c r="F37" s="30" t="n"/>
    </row>
    <row r="38" ht="24" customHeight="1">
      <c r="C38" s="32" t="inlineStr">
        <is>
          <t>Category / Criterion</t>
        </is>
      </c>
      <c r="D38" s="32" t="inlineStr">
        <is>
          <t>Score</t>
        </is>
      </c>
      <c r="E38" s="32" t="inlineStr">
        <is>
          <t>Level</t>
        </is>
      </c>
      <c r="F38" s="32" t="inlineStr">
        <is>
          <t>Status</t>
        </is>
      </c>
    </row>
    <row r="39" ht="28" customHeight="1">
      <c r="C39" s="52" t="inlineStr">
        <is>
          <t>People &amp; Organization</t>
        </is>
      </c>
      <c r="D39" s="53">
        <f>IF(COUNT(D40,D41,D42)=0,"",AVERAGE(D40,D41,D42))</f>
        <v/>
      </c>
      <c r="E39" s="54">
        <f>IF(D39="","",IF(D39&gt;=4.5,"Optimized",IF(D39&gt;=3.5,"Managed",IF(D39&gt;=2.5,"Defined",IF(D39&gt;=1.5,"Repeatable","Initial")))))</f>
        <v/>
      </c>
      <c r="F39" s="54">
        <f>IF(D39="","",IF(D39&gt;=3,"✓ Pass","✗ Below Target"))</f>
        <v/>
      </c>
    </row>
    <row r="40">
      <c r="C40" s="49" t="inlineStr">
        <is>
          <t xml:space="preserve">    Team Structure and Dedicated Roles</t>
        </is>
      </c>
      <c r="D40" s="50">
        <f>IF(COUNT(Assessment!F61)=0,"",AVERAGE(Assessment!F61))</f>
        <v/>
      </c>
      <c r="E40" s="51">
        <f>IF(D40="","",IF(D40&gt;=4.5,"Optimized",IF(D40&gt;=3.5,"Managed",IF(D40&gt;=2.5,"Defined",IF(D40&gt;=1.5,"Repeatable","Initial")))))</f>
        <v/>
      </c>
      <c r="F40" s="51">
        <f>IF(D40="","",IF(D40&gt;=3,"✓ Pass","✗ Below Target"))</f>
        <v/>
      </c>
    </row>
    <row r="41">
      <c r="C41" s="49" t="inlineStr">
        <is>
          <t xml:space="preserve">    Skills Development and Training</t>
        </is>
      </c>
      <c r="D41" s="50">
        <f>IF(COUNT(Assessment!F62)=0,"",AVERAGE(Assessment!F62))</f>
        <v/>
      </c>
      <c r="E41" s="51">
        <f>IF(D41="","",IF(D41&gt;=4.5,"Optimized",IF(D41&gt;=3.5,"Managed",IF(D41&gt;=2.5,"Defined",IF(D41&gt;=1.5,"Repeatable","Initial")))))</f>
        <v/>
      </c>
      <c r="F41" s="51">
        <f>IF(D41="","",IF(D41&gt;=3,"✓ Pass","✗ Below Target"))</f>
        <v/>
      </c>
    </row>
    <row r="42">
      <c r="C42" s="49" t="inlineStr">
        <is>
          <t xml:space="preserve">    Leadership Commitment and Executive Sponsorship</t>
        </is>
      </c>
      <c r="D42" s="50">
        <f>IF(COUNT(Assessment!F63,Assessment!F64,Assessment!F65)=0,"",AVERAGE(Assessment!F63,Assessment!F64,Assessment!F65))</f>
        <v/>
      </c>
      <c r="E42" s="51">
        <f>IF(D42="","",IF(D42&gt;=4.5,"Optimized",IF(D42&gt;=3.5,"Managed",IF(D42&gt;=2.5,"Defined",IF(D42&gt;=1.5,"Repeatable","Initial")))))</f>
        <v/>
      </c>
      <c r="F42" s="51">
        <f>IF(D42="","",IF(D42&gt;=3,"✓ Pass","✗ Below Target"))</f>
        <v/>
      </c>
    </row>
    <row r="43" ht="28" customHeight="1">
      <c r="C43" s="52" t="inlineStr">
        <is>
          <t>Process &amp; Governance</t>
        </is>
      </c>
      <c r="D43" s="53">
        <f>IF(COUNT(D44,D45,D46)=0,"",AVERAGE(D44,D45,D46))</f>
        <v/>
      </c>
      <c r="E43" s="54">
        <f>IF(D43="","",IF(D43&gt;=4.5,"Optimized",IF(D43&gt;=3.5,"Managed",IF(D43&gt;=2.5,"Defined",IF(D43&gt;=1.5,"Repeatable","Initial")))))</f>
        <v/>
      </c>
      <c r="F43" s="54">
        <f>IF(D43="","",IF(D43&gt;=3,"✓ Pass","✗ Below Target"))</f>
        <v/>
      </c>
    </row>
    <row r="44">
      <c r="C44" s="49" t="inlineStr">
        <is>
          <t xml:space="preserve">    Detection Lifecycle Workflow</t>
        </is>
      </c>
      <c r="D44" s="50">
        <f>IF(COUNT(Assessment!F68)=0,"",AVERAGE(Assessment!F68))</f>
        <v/>
      </c>
      <c r="E44" s="51">
        <f>IF(D44="","",IF(D44&gt;=4.5,"Optimized",IF(D44&gt;=3.5,"Managed",IF(D44&gt;=2.5,"Defined",IF(D44&gt;=1.5,"Repeatable","Initial")))))</f>
        <v/>
      </c>
      <c r="F44" s="51">
        <f>IF(D44="","",IF(D44&gt;=3,"✓ Pass","✗ Below Target"))</f>
        <v/>
      </c>
    </row>
    <row r="45">
      <c r="C45" s="49" t="inlineStr">
        <is>
          <t xml:space="preserve">    Metrics and KPI Tracking</t>
        </is>
      </c>
      <c r="D45" s="50">
        <f>IF(COUNT(Assessment!F69,Assessment!F70)=0,"",AVERAGE(Assessment!F69,Assessment!F70))</f>
        <v/>
      </c>
      <c r="E45" s="51">
        <f>IF(D45="","",IF(D45&gt;=4.5,"Optimized",IF(D45&gt;=3.5,"Managed",IF(D45&gt;=2.5,"Defined",IF(D45&gt;=1.5,"Repeatable","Initial")))))</f>
        <v/>
      </c>
      <c r="F45" s="51">
        <f>IF(D45="","",IF(D45&gt;=3,"✓ Pass","✗ Below Target"))</f>
        <v/>
      </c>
    </row>
    <row r="46">
      <c r="C46" s="49" t="inlineStr">
        <is>
          <t xml:space="preserve">    Cross-Team Collaboration</t>
        </is>
      </c>
      <c r="D46" s="50">
        <f>IF(COUNT(Assessment!F71)=0,"",AVERAGE(Assessment!F71))</f>
        <v/>
      </c>
      <c r="E46" s="51">
        <f>IF(D46="","",IF(D46&gt;=4.5,"Optimized",IF(D46&gt;=3.5,"Managed",IF(D46&gt;=2.5,"Defined",IF(D46&gt;=1.5,"Repeatable","Initial")))))</f>
        <v/>
      </c>
      <c r="F46" s="51">
        <f>IF(D46="","",IF(D46&gt;=3,"✓ Pass","✗ Below Target"))</f>
        <v/>
      </c>
    </row>
  </sheetData>
  <mergeCells count="10">
    <mergeCell ref="D6:E6"/>
    <mergeCell ref="B6:C6"/>
    <mergeCell ref="A1:G1"/>
    <mergeCell ref="B5:C5"/>
    <mergeCell ref="B10:F10"/>
    <mergeCell ref="D5:E5"/>
    <mergeCell ref="B37:F37"/>
    <mergeCell ref="A2:G2"/>
    <mergeCell ref="B36:F36"/>
    <mergeCell ref="B8:F8"/>
  </mergeCells>
  <conditionalFormatting sqref="D12:D34">
    <cfRule type="cellIs" priority="1" operator="between" dxfId="0">
      <formula>1</formula>
      <formula>1.49</formula>
    </cfRule>
    <cfRule type="cellIs" priority="2" operator="between" dxfId="1">
      <formula>1.5</formula>
      <formula>2.49</formula>
    </cfRule>
    <cfRule type="cellIs" priority="3" operator="between" dxfId="2">
      <formula>2.5</formula>
      <formula>3.49</formula>
    </cfRule>
    <cfRule type="cellIs" priority="4" operator="between" dxfId="3">
      <formula>3.5</formula>
      <formula>5</formula>
    </cfRule>
  </conditionalFormatting>
  <conditionalFormatting sqref="F12:F34">
    <cfRule type="cellIs" priority="5" operator="equal" dxfId="3">
      <formula>"✓ Pass"</formula>
    </cfRule>
    <cfRule type="cellIs" priority="6" operator="equal" dxfId="0">
      <formula>"✗ Below Target"</formula>
    </cfRule>
  </conditionalFormatting>
  <conditionalFormatting sqref="D39:D46">
    <cfRule type="cellIs" priority="7" operator="between" dxfId="0">
      <formula>1</formula>
      <formula>1.49</formula>
    </cfRule>
    <cfRule type="cellIs" priority="8" operator="between" dxfId="1">
      <formula>1.5</formula>
      <formula>2.49</formula>
    </cfRule>
    <cfRule type="cellIs" priority="9" operator="between" dxfId="2">
      <formula>2.5</formula>
      <formula>3.49</formula>
    </cfRule>
    <cfRule type="cellIs" priority="10" operator="between" dxfId="3">
      <formula>3.5</formula>
      <formula>5</formula>
    </cfRule>
  </conditionalFormatting>
  <conditionalFormatting sqref="F39:F46">
    <cfRule type="cellIs" priority="11" operator="equal" dxfId="3">
      <formula>"✓ Pass"</formula>
    </cfRule>
    <cfRule type="cellIs" priority="12" operator="equal" dxfId="0">
      <formula>"✗ Below Target"</formula>
    </cfRule>
  </conditionalFormatting>
  <conditionalFormatting sqref="B6:C6">
    <cfRule type="cellIs" priority="13" operator="between" dxfId="0">
      <formula>1</formula>
      <formula>1.49</formula>
    </cfRule>
    <cfRule type="cellIs" priority="14" operator="between" dxfId="1">
      <formula>1.5</formula>
      <formula>2.49</formula>
    </cfRule>
    <cfRule type="cellIs" priority="15" operator="between" dxfId="2">
      <formula>2.5</formula>
      <formula>3.49</formula>
    </cfRule>
    <cfRule type="cellIs" priority="16" operator="between" dxfId="3">
      <formula>3.5</formula>
      <formula>5</formula>
    </cfRule>
  </conditionalFormatting>
  <pageMargins left="0.75" right="0.75" top="1" bottom="1" header="0.5" footer="0.5"/>
</worksheet>
</file>

<file path=xl/worksheets/sheet4.xml><?xml version="1.0" encoding="utf-8"?>
<worksheet xmlns="http://schemas.openxmlformats.org/spreadsheetml/2006/main">
  <sheetPr>
    <tabColor rgb="003B82F6"/>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3" customWidth="1" min="1" max="1"/>
    <col width="22" customWidth="1" min="2" max="2"/>
    <col width="12" customWidth="1" min="3" max="3"/>
    <col width="3" customWidth="1" min="4" max="4"/>
  </cols>
  <sheetData>
    <row r="1" ht="48" customHeight="1">
      <c r="A1" s="1" t="inlineStr">
        <is>
          <t xml:space="preserve">  DEBMM Tier Scores</t>
        </is>
      </c>
      <c r="B1" s="2" t="n"/>
      <c r="C1" s="2" t="n"/>
      <c r="D1" s="2" t="n"/>
    </row>
    <row r="2" ht="22" customHeight="1">
      <c r="A2" s="3" t="inlineStr">
        <is>
          <t xml:space="preserve">  Average score per DEBMM core tier (target: 3.0)</t>
        </is>
      </c>
      <c r="B2" s="4" t="n"/>
      <c r="C2" s="4" t="n"/>
      <c r="D2" s="4" t="n"/>
    </row>
    <row r="4" ht="24" customHeight="1">
      <c r="B4" s="14" t="inlineStr">
        <is>
          <t>Tier</t>
        </is>
      </c>
      <c r="C4" s="14" t="inlineStr">
        <is>
          <t>Score</t>
        </is>
      </c>
    </row>
    <row r="5" ht="22" customHeight="1">
      <c r="B5" s="46" t="inlineStr">
        <is>
          <t>Foundation</t>
        </is>
      </c>
      <c r="C5" s="55">
        <f>'Results Dashboard'!D12</f>
        <v/>
      </c>
    </row>
    <row r="6" ht="22" customHeight="1">
      <c r="B6" s="46" t="inlineStr">
        <is>
          <t>Basic</t>
        </is>
      </c>
      <c r="C6" s="55">
        <f>'Results Dashboard'!D17</f>
        <v/>
      </c>
    </row>
    <row r="7" ht="22" customHeight="1">
      <c r="B7" s="46" t="inlineStr">
        <is>
          <t>Intermediate</t>
        </is>
      </c>
      <c r="C7" s="55">
        <f>'Results Dashboard'!D24</f>
        <v/>
      </c>
    </row>
    <row r="8" ht="22" customHeight="1">
      <c r="B8" s="46" t="inlineStr">
        <is>
          <t>Advanced</t>
        </is>
      </c>
      <c r="C8" s="55">
        <f>'Results Dashboard'!D28</f>
        <v/>
      </c>
    </row>
    <row r="9" ht="22" customHeight="1">
      <c r="B9" s="46" t="inlineStr">
        <is>
          <t>Expert</t>
        </is>
      </c>
      <c r="C9" s="55">
        <f>'Results Dashboard'!D32</f>
        <v/>
      </c>
    </row>
  </sheetData>
  <mergeCells count="2">
    <mergeCell ref="A1:D1"/>
    <mergeCell ref="A2:D2"/>
  </mergeCells>
  <conditionalFormatting sqref="C5">
    <cfRule type="cellIs" priority="1" operator="between" dxfId="0">
      <formula>1</formula>
      <formula>1.49</formula>
    </cfRule>
    <cfRule type="cellIs" priority="2" operator="between" dxfId="1">
      <formula>1.5</formula>
      <formula>2.49</formula>
    </cfRule>
    <cfRule type="cellIs" priority="3" operator="between" dxfId="2">
      <formula>2.5</formula>
      <formula>3.49</formula>
    </cfRule>
    <cfRule type="cellIs" priority="4" operator="between" dxfId="3">
      <formula>3.5</formula>
      <formula>5</formula>
    </cfRule>
  </conditionalFormatting>
  <conditionalFormatting sqref="C6">
    <cfRule type="cellIs" priority="5" operator="between" dxfId="0">
      <formula>1</formula>
      <formula>1.49</formula>
    </cfRule>
    <cfRule type="cellIs" priority="6" operator="between" dxfId="1">
      <formula>1.5</formula>
      <formula>2.49</formula>
    </cfRule>
    <cfRule type="cellIs" priority="7" operator="between" dxfId="2">
      <formula>2.5</formula>
      <formula>3.49</formula>
    </cfRule>
    <cfRule type="cellIs" priority="8" operator="between" dxfId="3">
      <formula>3.5</formula>
      <formula>5</formula>
    </cfRule>
  </conditionalFormatting>
  <conditionalFormatting sqref="C7">
    <cfRule type="cellIs" priority="9" operator="between" dxfId="0">
      <formula>1</formula>
      <formula>1.49</formula>
    </cfRule>
    <cfRule type="cellIs" priority="10" operator="between" dxfId="1">
      <formula>1.5</formula>
      <formula>2.49</formula>
    </cfRule>
    <cfRule type="cellIs" priority="11" operator="between" dxfId="2">
      <formula>2.5</formula>
      <formula>3.49</formula>
    </cfRule>
    <cfRule type="cellIs" priority="12" operator="between" dxfId="3">
      <formula>3.5</formula>
      <formula>5</formula>
    </cfRule>
  </conditionalFormatting>
  <conditionalFormatting sqref="C8">
    <cfRule type="cellIs" priority="13" operator="between" dxfId="0">
      <formula>1</formula>
      <formula>1.49</formula>
    </cfRule>
    <cfRule type="cellIs" priority="14" operator="between" dxfId="1">
      <formula>1.5</formula>
      <formula>2.49</formula>
    </cfRule>
    <cfRule type="cellIs" priority="15" operator="between" dxfId="2">
      <formula>2.5</formula>
      <formula>3.49</formula>
    </cfRule>
    <cfRule type="cellIs" priority="16" operator="between" dxfId="3">
      <formula>3.5</formula>
      <formula>5</formula>
    </cfRule>
  </conditionalFormatting>
  <conditionalFormatting sqref="C9">
    <cfRule type="cellIs" priority="17" operator="between" dxfId="0">
      <formula>1</formula>
      <formula>1.49</formula>
    </cfRule>
    <cfRule type="cellIs" priority="18" operator="between" dxfId="1">
      <formula>1.5</formula>
      <formula>2.49</formula>
    </cfRule>
    <cfRule type="cellIs" priority="19" operator="between" dxfId="2">
      <formula>2.5</formula>
      <formula>3.49</formula>
    </cfRule>
    <cfRule type="cellIs" priority="20" operator="between" dxfId="3">
      <formula>3.5</formula>
      <formula>5</formula>
    </cfRule>
  </conditionalFormatting>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0D7377"/>
    <outlinePr summaryBelow="1" summaryRight="1"/>
    <pageSetUpPr/>
  </sheetPr>
  <dimension ref="A1:D6"/>
  <sheetViews>
    <sheetView workbookViewId="0">
      <pane ySplit="2" topLeftCell="A3" activePane="bottomLeft" state="frozen"/>
      <selection pane="bottomLeft" activeCell="A1" sqref="A1"/>
    </sheetView>
  </sheetViews>
  <sheetFormatPr baseColWidth="8" defaultRowHeight="15"/>
  <cols>
    <col width="3" customWidth="1" min="1" max="1"/>
    <col width="30" customWidth="1" min="2" max="2"/>
    <col width="12" customWidth="1" min="3" max="3"/>
    <col width="3" customWidth="1" min="4" max="4"/>
  </cols>
  <sheetData>
    <row r="1" ht="48" customHeight="1">
      <c r="A1" s="1" t="inlineStr">
        <is>
          <t xml:space="preserve">  Organizational Readiness</t>
        </is>
      </c>
      <c r="B1" s="2" t="n"/>
      <c r="C1" s="2" t="n"/>
      <c r="D1" s="2" t="n"/>
    </row>
    <row r="2" ht="22" customHeight="1">
      <c r="A2" s="56" t="inlineStr">
        <is>
          <t xml:space="preserve">  Supplementary dimensions — do not affect DEBMM tier determination</t>
        </is>
      </c>
      <c r="B2" s="34" t="n"/>
      <c r="C2" s="34" t="n"/>
      <c r="D2" s="34" t="n"/>
    </row>
    <row r="4" ht="24" customHeight="1">
      <c r="B4" s="32" t="inlineStr">
        <is>
          <t>Dimension</t>
        </is>
      </c>
      <c r="C4" s="32" t="inlineStr">
        <is>
          <t>Score</t>
        </is>
      </c>
    </row>
    <row r="5" ht="22" customHeight="1">
      <c r="B5" s="52" t="inlineStr">
        <is>
          <t>People &amp; Organization</t>
        </is>
      </c>
      <c r="C5" s="55">
        <f>'Results Dashboard'!D39</f>
        <v/>
      </c>
    </row>
    <row r="6" ht="22" customHeight="1">
      <c r="B6" s="52" t="inlineStr">
        <is>
          <t>Process &amp; Governance</t>
        </is>
      </c>
      <c r="C6" s="55">
        <f>'Results Dashboard'!D43</f>
        <v/>
      </c>
    </row>
  </sheetData>
  <mergeCells count="2">
    <mergeCell ref="A1:D1"/>
    <mergeCell ref="A2:D2"/>
  </mergeCells>
  <conditionalFormatting sqref="C5">
    <cfRule type="cellIs" priority="1" operator="between" dxfId="0">
      <formula>1</formula>
      <formula>1.49</formula>
    </cfRule>
    <cfRule type="cellIs" priority="2" operator="between" dxfId="1">
      <formula>1.5</formula>
      <formula>2.49</formula>
    </cfRule>
    <cfRule type="cellIs" priority="3" operator="between" dxfId="2">
      <formula>2.5</formula>
      <formula>3.49</formula>
    </cfRule>
    <cfRule type="cellIs" priority="4" operator="between" dxfId="3">
      <formula>3.5</formula>
      <formula>5</formula>
    </cfRule>
  </conditionalFormatting>
  <conditionalFormatting sqref="C6">
    <cfRule type="cellIs" priority="5" operator="between" dxfId="0">
      <formula>1</formula>
      <formula>1.49</formula>
    </cfRule>
    <cfRule type="cellIs" priority="6" operator="between" dxfId="1">
      <formula>1.5</formula>
      <formula>2.49</formula>
    </cfRule>
    <cfRule type="cellIs" priority="7" operator="between" dxfId="2">
      <formula>2.5</formula>
      <formula>3.49</formula>
    </cfRule>
    <cfRule type="cellIs" priority="8" operator="between" dxfId="3">
      <formula>3.5</formula>
      <formula>5</formula>
    </cfRule>
  </conditionalFormatting>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2D3E50"/>
    <outlinePr summaryBelow="1" summaryRight="1"/>
    <pageSetUpPr/>
  </sheetPr>
  <dimension ref="A1:C2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40" customWidth="1" min="3" max="3"/>
  </cols>
  <sheetData>
    <row r="1" ht="48" customHeight="1">
      <c r="A1" s="1" t="inlineStr">
        <is>
          <t xml:space="preserve">  DEBMM Rubric Reference</t>
        </is>
      </c>
      <c r="B1" s="2" t="n"/>
      <c r="C1" s="2" t="n"/>
    </row>
    <row r="3" ht="28" customHeight="1">
      <c r="A3" s="15" t="inlineStr">
        <is>
          <t xml:space="preserve">  DEBMM CORE TIERS</t>
        </is>
      </c>
      <c r="B3" s="4" t="n"/>
      <c r="C3" s="4" t="n"/>
    </row>
    <row r="4" ht="30" customHeight="1">
      <c r="A4" s="15" t="inlineStr">
        <is>
          <t xml:space="preserve">  Tier 0: Foundation</t>
        </is>
      </c>
      <c r="B4" s="4" t="n"/>
      <c r="C4" s="4" t="n"/>
    </row>
    <row r="5" ht="36" customHeight="1">
      <c r="A5" s="57" t="inlineStr">
        <is>
          <t>Establishes the basic groundwork for detection engineering. Without these foundational practices, higher-tier activities lack structure and consistency.</t>
        </is>
      </c>
      <c r="B5" s="6" t="n"/>
      <c r="C5" s="6" t="n"/>
    </row>
    <row r="6" ht="26" customHeight="1">
      <c r="A6" s="5" t="inlineStr">
        <is>
          <t>Structured Rule Development Approach</t>
        </is>
      </c>
      <c r="B6" s="6" t="n"/>
      <c r="C6" s="6" t="n"/>
    </row>
    <row r="7" ht="22" customHeight="1">
      <c r="A7" s="14" t="inlineStr">
        <is>
          <t>Level</t>
        </is>
      </c>
      <c r="B7" s="14" t="inlineStr">
        <is>
          <t>Description</t>
        </is>
      </c>
      <c r="C7" s="14" t="inlineStr">
        <is>
          <t>Quantitative Measure</t>
        </is>
      </c>
    </row>
    <row r="8" ht="42" customHeight="1">
      <c r="A8" s="58" t="inlineStr">
        <is>
          <t>1 — Initial</t>
        </is>
      </c>
      <c r="B8" s="59" t="inlineStr">
        <is>
          <t>No structured approach to rule development. Rules are created randomly or reactively without any guiding methodology.</t>
        </is>
      </c>
      <c r="C8" s="59" t="inlineStr">
        <is>
          <t>0% of rules follow a formal development process.</t>
        </is>
      </c>
    </row>
    <row r="9" ht="42" customHeight="1">
      <c r="A9" s="60" t="inlineStr">
        <is>
          <t>2 — Repeatable</t>
        </is>
      </c>
      <c r="B9" s="61" t="inlineStr">
        <is>
          <t>Some rules follow a loose process, but it is inconsistently applied. Individual contributors may have personal workflows.</t>
        </is>
      </c>
      <c r="C9" s="61" t="inlineStr">
        <is>
          <t>&lt;30% of rules follow a documented development process.</t>
        </is>
      </c>
    </row>
    <row r="10" ht="42" customHeight="1">
      <c r="A10" s="62" t="inlineStr">
        <is>
          <t>3 — Defined</t>
        </is>
      </c>
      <c r="B10" s="63" t="inlineStr">
        <is>
          <t>A defined rule development methodology exists and is documented. Most new rules follow the standard process including peer review.</t>
        </is>
      </c>
      <c r="C10" s="63" t="inlineStr">
        <is>
          <t>50-70% of rules follow the documented process; schema alignment &gt;60%.</t>
        </is>
      </c>
    </row>
    <row r="11" ht="42" customHeight="1">
      <c r="A11" s="64" t="inlineStr">
        <is>
          <t>4 — Managed</t>
        </is>
      </c>
      <c r="B11" s="65" t="inlineStr">
        <is>
          <t>Rule development is standardized across the team with enforced workflows, templates, and quality gates. Deviations are tracked and addressed.</t>
        </is>
      </c>
      <c r="C11" s="65" t="inlineStr">
        <is>
          <t>80-90% schema alignment; all new rules go through formal review.</t>
        </is>
      </c>
    </row>
    <row r="12" ht="42" customHeight="1">
      <c r="A12" s="66" t="inlineStr">
        <is>
          <t>5 — Optimized</t>
        </is>
      </c>
      <c r="B12" s="67" t="inlineStr">
        <is>
          <t>Continuous improvement of the development process based on feedback loops. Process is fully integrated with CI/CD and automated quality checks.</t>
        </is>
      </c>
      <c r="C12" s="67" t="inlineStr">
        <is>
          <t>90-100% schema alignment; automated linting and validation on all rules.</t>
        </is>
      </c>
    </row>
    <row r="14" ht="26" customHeight="1">
      <c r="A14" s="5" t="inlineStr">
        <is>
          <t>Rule Creation and Maintenance</t>
        </is>
      </c>
      <c r="B14" s="6" t="n"/>
      <c r="C14" s="6" t="n"/>
    </row>
    <row r="15" ht="22" customHeight="1">
      <c r="A15" s="14" t="inlineStr">
        <is>
          <t>Level</t>
        </is>
      </c>
      <c r="B15" s="14" t="inlineStr">
        <is>
          <t>Description</t>
        </is>
      </c>
      <c r="C15" s="14" t="inlineStr">
        <is>
          <t>Quantitative Measure</t>
        </is>
      </c>
    </row>
    <row r="16" ht="42" customHeight="1">
      <c r="A16" s="58" t="inlineStr">
        <is>
          <t>1 — Initial</t>
        </is>
      </c>
      <c r="B16" s="59" t="inlineStr">
        <is>
          <t>Rules are created ad hoc with no maintenance schedule. Stale or broken rules accumulate over time.</t>
        </is>
      </c>
      <c r="C16" s="59" t="inlineStr">
        <is>
          <t>&lt;50% of rules reviewed annually.</t>
        </is>
      </c>
    </row>
    <row r="17" ht="42" customHeight="1">
      <c r="A17" s="60" t="inlineStr">
        <is>
          <t>2 — Repeatable</t>
        </is>
      </c>
      <c r="B17" s="61" t="inlineStr">
        <is>
          <t>Some rules are periodically reviewed, but there is no systematic maintenance process. Updates happen reactively.</t>
        </is>
      </c>
      <c r="C17" s="61" t="inlineStr">
        <is>
          <t>50-70% of rules reviewed annually; no formal peer review.</t>
        </is>
      </c>
    </row>
    <row r="18" ht="42" customHeight="1">
      <c r="A18" s="62" t="inlineStr">
        <is>
          <t>3 — Defined</t>
        </is>
      </c>
      <c r="B18" s="63" t="inlineStr">
        <is>
          <t>Regular rule review cycles are established. Rules have owners and defined review schedules. Peer review is standard practice.</t>
        </is>
      </c>
      <c r="C18" s="63" t="inlineStr">
        <is>
          <t>70-80% of rules reviewed on schedule; peer review on most changes.</t>
        </is>
      </c>
    </row>
    <row r="19" ht="42" customHeight="1">
      <c r="A19" s="64" t="inlineStr">
        <is>
          <t>4 — Managed</t>
        </is>
      </c>
      <c r="B19" s="65" t="inlineStr">
        <is>
          <t>Comprehensive rule lifecycle management with creation, testing, deployment, monitoring, and retirement processes. All changes are peer-reviewed.</t>
        </is>
      </c>
      <c r="C19" s="65" t="inlineStr">
        <is>
          <t>80-90% of rules reviewed on schedule; 100% peer review on changes.</t>
        </is>
      </c>
    </row>
    <row r="20" ht="42" customHeight="1">
      <c r="A20" s="66" t="inlineStr">
        <is>
          <t>5 — Optimized</t>
        </is>
      </c>
      <c r="B20" s="67" t="inlineStr">
        <is>
          <t>Continuous rule improvement with automated monitoring of rule health. Automated updates triggered by telemetry changes or threat intelligence.</t>
        </is>
      </c>
      <c r="C20" s="67" t="inlineStr">
        <is>
          <t>90-100% of rules reviewed on schedule; automated health monitoring.</t>
        </is>
      </c>
    </row>
    <row r="22" ht="26" customHeight="1">
      <c r="A22" s="5" t="inlineStr">
        <is>
          <t>Roadmap Documentation</t>
        </is>
      </c>
      <c r="B22" s="6" t="n"/>
      <c r="C22" s="6" t="n"/>
    </row>
    <row r="23" ht="22" customHeight="1">
      <c r="A23" s="14" t="inlineStr">
        <is>
          <t>Level</t>
        </is>
      </c>
      <c r="B23" s="14" t="inlineStr">
        <is>
          <t>Description</t>
        </is>
      </c>
      <c r="C23" s="14" t="inlineStr">
        <is>
          <t>Quantitative Measure</t>
        </is>
      </c>
    </row>
    <row r="24" ht="42" customHeight="1">
      <c r="A24" s="58" t="inlineStr">
        <is>
          <t>1 — Initial</t>
        </is>
      </c>
      <c r="B24" s="59" t="inlineStr">
        <is>
          <t>No detection roadmap exists. Work is entirely reactive or driven by individual initiative.</t>
        </is>
      </c>
      <c r="C24" s="59" t="inlineStr">
        <is>
          <t>0% of detection work tied to a documented plan.</t>
        </is>
      </c>
    </row>
    <row r="25" ht="42" customHeight="1">
      <c r="A25" s="60" t="inlineStr">
        <is>
          <t>2 — Repeatable</t>
        </is>
      </c>
      <c r="B25" s="61" t="inlineStr">
        <is>
          <t>An informal roadmap or backlog exists but is not regularly maintained or communicated to stakeholders.</t>
        </is>
      </c>
      <c r="C25" s="61" t="inlineStr">
        <is>
          <t>&lt;30% of rules have scheduled review or development timelines.</t>
        </is>
      </c>
    </row>
    <row r="26" ht="42" customHeight="1">
      <c r="A26" s="62" t="inlineStr">
        <is>
          <t>3 — Defined</t>
        </is>
      </c>
      <c r="B26" s="63" t="inlineStr">
        <is>
          <t>A formal roadmap is documented, reviewed quarterly, and shared with relevant stakeholders. Priorities are clear.</t>
        </is>
      </c>
      <c r="C26" s="63" t="inlineStr">
        <is>
          <t>50-70% of planned work is tracked against the roadmap.</t>
        </is>
      </c>
    </row>
    <row r="27" ht="42" customHeight="1">
      <c r="A27" s="64" t="inlineStr">
        <is>
          <t>4 — Managed</t>
        </is>
      </c>
      <c r="B27" s="65" t="inlineStr">
        <is>
          <t>Roadmap is integrated with organizational security strategy. Progress is tracked with metrics and reported to leadership.</t>
        </is>
      </c>
      <c r="C27" s="65" t="inlineStr">
        <is>
          <t>70-90% of planned work tracked; quarterly roadmap reviews with leadership.</t>
        </is>
      </c>
    </row>
    <row r="28" ht="42" customHeight="1">
      <c r="A28" s="66" t="inlineStr">
        <is>
          <t>5 — Optimized</t>
        </is>
      </c>
      <c r="B28" s="67" t="inlineStr">
        <is>
          <t>Dynamic, continuously updated roadmap driven by threat intelligence, gap analysis, and organizational risk priorities.</t>
        </is>
      </c>
      <c r="C28" s="67" t="inlineStr">
        <is>
          <t>90-100% of work tracked; roadmap auto-updated from gap analysis and intel feeds.</t>
        </is>
      </c>
    </row>
    <row r="30" ht="26" customHeight="1">
      <c r="A30" s="5" t="inlineStr">
        <is>
          <t>Threat Modeling</t>
        </is>
      </c>
      <c r="B30" s="6" t="n"/>
      <c r="C30" s="6" t="n"/>
    </row>
    <row r="31" ht="22" customHeight="1">
      <c r="A31" s="14" t="inlineStr">
        <is>
          <t>Level</t>
        </is>
      </c>
      <c r="B31" s="14" t="inlineStr">
        <is>
          <t>Description</t>
        </is>
      </c>
      <c r="C31" s="14" t="inlineStr">
        <is>
          <t>Quantitative Measure</t>
        </is>
      </c>
    </row>
    <row r="32" ht="42" customHeight="1">
      <c r="A32" s="58" t="inlineStr">
        <is>
          <t>1 — Initial</t>
        </is>
      </c>
      <c r="B32" s="59" t="inlineStr">
        <is>
          <t>No threat modeling is performed. Detection rules are not informed by a structured understanding of threats to the organization.</t>
        </is>
      </c>
      <c r="C32" s="59" t="inlineStr">
        <is>
          <t>Zero threat modeling exercises performed.</t>
        </is>
      </c>
    </row>
    <row r="33" ht="42" customHeight="1">
      <c r="A33" s="60" t="inlineStr">
        <is>
          <t>2 — Repeatable</t>
        </is>
      </c>
      <c r="B33" s="61" t="inlineStr">
        <is>
          <t>Occasional threat modeling exercises, typically triggered by incidents or major changes. Not regularly scheduled.</t>
        </is>
      </c>
      <c r="C33" s="61" t="inlineStr">
        <is>
          <t>&lt;1 formal threat modeling exercise per year.</t>
        </is>
      </c>
    </row>
    <row r="34" ht="42" customHeight="1">
      <c r="A34" s="62" t="inlineStr">
        <is>
          <t>3 — Defined</t>
        </is>
      </c>
      <c r="B34" s="63" t="inlineStr">
        <is>
          <t>Regular threat modeling exercises (at least quarterly) inform detection priorities. Results are documented and fed into the roadmap.</t>
        </is>
      </c>
      <c r="C34" s="63" t="inlineStr">
        <is>
          <t>Quarterly threat modeling exercises; results documented.</t>
        </is>
      </c>
    </row>
    <row r="35" ht="42" customHeight="1">
      <c r="A35" s="64" t="inlineStr">
        <is>
          <t>4 — Managed</t>
        </is>
      </c>
      <c r="B35" s="65" t="inlineStr">
        <is>
          <t>Threat modeling is integrated into the detection development lifecycle. New detections are prioritized based on threat model outputs.</t>
        </is>
      </c>
      <c r="C35" s="65" t="inlineStr">
        <is>
          <t>Monthly exercises; &gt;70% of new detections tied to threat model outputs.</t>
        </is>
      </c>
    </row>
    <row r="36" ht="42" customHeight="1">
      <c r="A36" s="66" t="inlineStr">
        <is>
          <t>5 — Optimized</t>
        </is>
      </c>
      <c r="B36" s="67" t="inlineStr">
        <is>
          <t>Continuous, proactive threat modeling incorporating real-time threat intelligence, attack surface changes, and emerging TTPs.</t>
        </is>
      </c>
      <c r="C36" s="67" t="inlineStr">
        <is>
          <t>Continuous modeling; real-time integration with threat intel feeds.</t>
        </is>
      </c>
    </row>
    <row r="38" ht="30" customHeight="1">
      <c r="A38" s="15" t="inlineStr">
        <is>
          <t xml:space="preserve">  Tier 1: Basic</t>
        </is>
      </c>
      <c r="B38" s="4" t="n"/>
      <c r="C38" s="4" t="n"/>
    </row>
    <row r="39" ht="36" customHeight="1">
      <c r="A39" s="57" t="inlineStr">
        <is>
          <t>Establishes baseline detection capabilities with systematic management, version control, and initial alignment with the threat landscape.</t>
        </is>
      </c>
      <c r="B39" s="6" t="n"/>
      <c r="C39" s="6" t="n"/>
    </row>
    <row r="40" ht="26" customHeight="1">
      <c r="A40" s="5" t="inlineStr">
        <is>
          <t>Baseline Rule Creation</t>
        </is>
      </c>
      <c r="B40" s="6" t="n"/>
      <c r="C40" s="6" t="n"/>
    </row>
    <row r="41" ht="22" customHeight="1">
      <c r="A41" s="14" t="inlineStr">
        <is>
          <t>Level</t>
        </is>
      </c>
      <c r="B41" s="14" t="inlineStr">
        <is>
          <t>Description</t>
        </is>
      </c>
      <c r="C41" s="14" t="inlineStr">
        <is>
          <t>Quantitative Measure</t>
        </is>
      </c>
    </row>
    <row r="42" ht="42" customHeight="1">
      <c r="A42" s="58" t="inlineStr">
        <is>
          <t>1 — Initial</t>
        </is>
      </c>
      <c r="B42" s="59" t="inlineStr">
        <is>
          <t>Few or no baseline detection rules exist. Coverage is minimal and limited to out-of-the-box vendor rules.</t>
        </is>
      </c>
      <c r="C42" s="59" t="inlineStr">
        <is>
          <t>&lt;10 custom baseline rules; minimal ATT&amp;CK technique coverage.</t>
        </is>
      </c>
    </row>
    <row r="43" ht="42" customHeight="1">
      <c r="A43" s="60" t="inlineStr">
        <is>
          <t>2 — Repeatable</t>
        </is>
      </c>
      <c r="B43" s="61" t="inlineStr">
        <is>
          <t>A small set of baseline rules covers the most critical threats. Rules are basic signature or IOC-based detections.</t>
        </is>
      </c>
      <c r="C43" s="61" t="inlineStr">
        <is>
          <t>10-30 baseline rules; &lt;30% ATT&amp;CK technique coverage for priority areas.</t>
        </is>
      </c>
    </row>
    <row r="44" ht="42" customHeight="1">
      <c r="A44" s="62" t="inlineStr">
        <is>
          <t>3 — Defined</t>
        </is>
      </c>
      <c r="B44" s="63" t="inlineStr">
        <is>
          <t>Baseline rules cover key threat categories with a mix of signature and behavioral detections. Coverage gaps are identified.</t>
        </is>
      </c>
      <c r="C44" s="63" t="inlineStr">
        <is>
          <t>30-60 baseline rules; 30-50% ATT&amp;CK technique coverage with documented gaps.</t>
        </is>
      </c>
    </row>
    <row r="45" ht="42" customHeight="1">
      <c r="A45" s="64" t="inlineStr">
        <is>
          <t>4 — Managed</t>
        </is>
      </c>
      <c r="B45" s="65" t="inlineStr">
        <is>
          <t>Comprehensive baseline with behavioral and TTP-focused detections. Rules are tuned per environment and regularly validated.</t>
        </is>
      </c>
      <c r="C45" s="65" t="inlineStr">
        <is>
          <t>60-100 baseline rules; 50-70% ATT&amp;CK technique coverage including behavioral detections; gaps tracked against threat model.</t>
        </is>
      </c>
    </row>
    <row r="46" ht="42" customHeight="1">
      <c r="A46" s="66" t="inlineStr">
        <is>
          <t>5 — Optimized</t>
        </is>
      </c>
      <c r="B46" s="67" t="inlineStr">
        <is>
          <t>Continuously refined baseline with full environment-specific tuning. Automated coverage analysis identifies and fills gaps proactively.</t>
        </is>
      </c>
      <c r="C46" s="67" t="inlineStr">
        <is>
          <t>100+ baseline rules; &gt;70% ATT&amp;CK technique coverage; continuous gap analysis and automated coverage tracking.</t>
        </is>
      </c>
    </row>
    <row r="48" ht="26" customHeight="1">
      <c r="A48" s="5" t="inlineStr">
        <is>
          <t>Ruleset Management and Maintenance</t>
        </is>
      </c>
      <c r="B48" s="6" t="n"/>
      <c r="C48" s="6" t="n"/>
    </row>
    <row r="49" ht="22" customHeight="1">
      <c r="A49" s="14" t="inlineStr">
        <is>
          <t>Level</t>
        </is>
      </c>
      <c r="B49" s="14" t="inlineStr">
        <is>
          <t>Description</t>
        </is>
      </c>
      <c r="C49" s="14" t="inlineStr">
        <is>
          <t>Quantitative Measure</t>
        </is>
      </c>
    </row>
    <row r="50" ht="42" customHeight="1">
      <c r="A50" s="58" t="inlineStr">
        <is>
          <t>1 — Initial</t>
        </is>
      </c>
      <c r="B50" s="59" t="inlineStr">
        <is>
          <t>No formal rule management. Rules live in the SIEM with no version control, change tracking, or documentation.</t>
        </is>
      </c>
      <c r="C50" s="59" t="inlineStr">
        <is>
          <t>&lt;20% of rules under version control.</t>
        </is>
      </c>
    </row>
    <row r="51" ht="42" customHeight="1">
      <c r="A51" s="60" t="inlineStr">
        <is>
          <t>2 — Repeatable</t>
        </is>
      </c>
      <c r="B51" s="61" t="inlineStr">
        <is>
          <t>Some rules are stored in version control. Basic documentation exists for some detections but is incomplete.</t>
        </is>
      </c>
      <c r="C51" s="61" t="inlineStr">
        <is>
          <t>20-50% of rules in version control; basic documentation.</t>
        </is>
      </c>
    </row>
    <row r="52" ht="42" customHeight="1">
      <c r="A52" s="62" t="inlineStr">
        <is>
          <t>3 — Defined</t>
        </is>
      </c>
      <c r="B52" s="63" t="inlineStr">
        <is>
          <t>Most rules are managed in version control with documentation standards. A detection-as-code approach is being adopted.</t>
        </is>
      </c>
      <c r="C52" s="63" t="inlineStr">
        <is>
          <t>50-80% of rules in version control with documentation.</t>
        </is>
      </c>
    </row>
    <row r="53" ht="42" customHeight="1">
      <c r="A53" s="64" t="inlineStr">
        <is>
          <t>4 — Managed</t>
        </is>
      </c>
      <c r="B53" s="65" t="inlineStr">
        <is>
          <t>Detection-as-code is standard practice. CI/CD pipelines handle rule deployment. All rules are documented and version-controlled.</t>
        </is>
      </c>
      <c r="C53" s="65" t="inlineStr">
        <is>
          <t>80-90% of rules in DaC pipeline; automated deployment.</t>
        </is>
      </c>
    </row>
    <row r="54" ht="42" customHeight="1">
      <c r="A54" s="66" t="inlineStr">
        <is>
          <t>5 — Optimized</t>
        </is>
      </c>
      <c r="B54" s="67" t="inlineStr">
        <is>
          <t>Fully automated rule lifecycle with CI/CD, automated testing, continuous validation, and weekly maintenance cycles.</t>
        </is>
      </c>
      <c r="C54" s="67" t="inlineStr">
        <is>
          <t>100% DaC; automated testing and deployment; weekly validation cycles.</t>
        </is>
      </c>
    </row>
    <row r="56" ht="26" customHeight="1">
      <c r="A56" s="5" t="inlineStr">
        <is>
          <t>Telemetry Quality</t>
        </is>
      </c>
      <c r="B56" s="6" t="n"/>
      <c r="C56" s="6" t="n"/>
    </row>
    <row r="57" ht="22" customHeight="1">
      <c r="A57" s="14" t="inlineStr">
        <is>
          <t>Level</t>
        </is>
      </c>
      <c r="B57" s="14" t="inlineStr">
        <is>
          <t>Description</t>
        </is>
      </c>
      <c r="C57" s="14" t="inlineStr">
        <is>
          <t>Quantitative Measure</t>
        </is>
      </c>
    </row>
    <row r="58" ht="42" customHeight="1">
      <c r="A58" s="58" t="inlineStr">
        <is>
          <t>1 — Initial</t>
        </is>
      </c>
      <c r="B58" s="59" t="inlineStr">
        <is>
          <t>No active management of telemetry quality. Data sources are whatever happens to be available without assessment of completeness.</t>
        </is>
      </c>
      <c r="C58" s="59" t="inlineStr">
        <is>
          <t>&lt;30% of rule types have adequate telemetry producing expected data.</t>
        </is>
      </c>
    </row>
    <row r="59" ht="42" customHeight="1">
      <c r="A59" s="60" t="inlineStr">
        <is>
          <t>2 — Repeatable</t>
        </is>
      </c>
      <c r="B59" s="61" t="inlineStr">
        <is>
          <t>Some awareness of telemetry gaps. Basic checks ensure critical data sources are ingesting, but no formal quality program.</t>
        </is>
      </c>
      <c r="C59" s="61" t="inlineStr">
        <is>
          <t>30-50% of rule types have adequate telemetry; basic health checks.</t>
        </is>
      </c>
    </row>
    <row r="60" ht="42" customHeight="1">
      <c r="A60" s="62" t="inlineStr">
        <is>
          <t>3 — Defined</t>
        </is>
      </c>
      <c r="B60" s="63" t="inlineStr">
        <is>
          <t>Telemetry quality is actively monitored. Data source coverage is mapped to detection needs. CTI enrichment is being integrated.</t>
        </is>
      </c>
      <c r="C60" s="63" t="inlineStr">
        <is>
          <t>50-70% telemetry coverage; CTI integration beginning.</t>
        </is>
      </c>
    </row>
    <row r="61" ht="42" customHeight="1">
      <c r="A61" s="64" t="inlineStr">
        <is>
          <t>4 — Managed</t>
        </is>
      </c>
      <c r="B61" s="65" t="inlineStr">
        <is>
          <t>Comprehensive telemetry management with automated health monitoring, CTI enrichment, and proactive gap identification.</t>
        </is>
      </c>
      <c r="C61" s="65" t="inlineStr">
        <is>
          <t>70-90% telemetry coverage; automated health monitoring; CTI integrated.</t>
        </is>
      </c>
    </row>
    <row r="62" ht="42" customHeight="1">
      <c r="A62" s="66" t="inlineStr">
        <is>
          <t>5 — Optimized</t>
        </is>
      </c>
      <c r="B62" s="67" t="inlineStr">
        <is>
          <t>Advanced telemetry workflows with real-time enrichment, automated responses to telemetry degradation, and full CTI integration.</t>
        </is>
      </c>
      <c r="C62" s="67" t="inlineStr">
        <is>
          <t>90-100% coverage; real-time enrichment; automated remediation of gaps.</t>
        </is>
      </c>
    </row>
    <row r="64" ht="26" customHeight="1">
      <c r="A64" s="5" t="inlineStr">
        <is>
          <t>Threat Landscape Review</t>
        </is>
      </c>
      <c r="B64" s="6" t="n"/>
      <c r="C64" s="6" t="n"/>
    </row>
    <row r="65" ht="22" customHeight="1">
      <c r="A65" s="14" t="inlineStr">
        <is>
          <t>Level</t>
        </is>
      </c>
      <c r="B65" s="14" t="inlineStr">
        <is>
          <t>Description</t>
        </is>
      </c>
      <c r="C65" s="14" t="inlineStr">
        <is>
          <t>Quantitative Measure</t>
        </is>
      </c>
    </row>
    <row r="66" ht="42" customHeight="1">
      <c r="A66" s="58" t="inlineStr">
        <is>
          <t>1 — Initial</t>
        </is>
      </c>
      <c r="B66" s="59" t="inlineStr">
        <is>
          <t>No regular review of the threat landscape. Detection priorities are not informed by current threats.</t>
        </is>
      </c>
      <c r="C66" s="59" t="inlineStr">
        <is>
          <t>No scheduled reviews; &lt;30% of rules aligned to current threats.</t>
        </is>
      </c>
    </row>
    <row r="67" ht="42" customHeight="1">
      <c r="A67" s="60" t="inlineStr">
        <is>
          <t>2 — Repeatable</t>
        </is>
      </c>
      <c r="B67" s="61" t="inlineStr">
        <is>
          <t>Bi-annual or annual reviews of the threat landscape. Some detection priorities are updated based on major threat changes.</t>
        </is>
      </c>
      <c r="C67" s="61" t="inlineStr">
        <is>
          <t>1-2 reviews per year; some rule updates based on findings.</t>
        </is>
      </c>
    </row>
    <row r="68" ht="42" customHeight="1">
      <c r="A68" s="62" t="inlineStr">
        <is>
          <t>3 — Defined</t>
        </is>
      </c>
      <c r="B68" s="63" t="inlineStr">
        <is>
          <t>Quarterly threat landscape reviews with documented findings. Detection roadmap is updated based on review outcomes.</t>
        </is>
      </c>
      <c r="C68" s="63" t="inlineStr">
        <is>
          <t>Quarterly reviews; 50-70% of rules reviewed against current threats.</t>
        </is>
      </c>
    </row>
    <row r="69" ht="42" customHeight="1">
      <c r="A69" s="64" t="inlineStr">
        <is>
          <t>4 — Managed</t>
        </is>
      </c>
      <c r="B69" s="65" t="inlineStr">
        <is>
          <t>Monthly threat landscape reviews integrated with threat intelligence. Detection priorities are continuously aligned with emerging threats.</t>
        </is>
      </c>
      <c r="C69" s="65" t="inlineStr">
        <is>
          <t>Monthly reviews; 70-90% rules aligned; automated intel integration.</t>
        </is>
      </c>
    </row>
    <row r="70" ht="42" customHeight="1">
      <c r="A70" s="66" t="inlineStr">
        <is>
          <t>5 — Optimized</t>
        </is>
      </c>
      <c r="B70" s="67" t="inlineStr">
        <is>
          <t>Real-time threat landscape monitoring with automated intelligence feeds driving detection priority updates.</t>
        </is>
      </c>
      <c r="C70" s="67" t="inlineStr">
        <is>
          <t>Continuous monitoring; 90-100% alignment; automated priority updates.</t>
        </is>
      </c>
    </row>
    <row r="72" ht="26" customHeight="1">
      <c r="A72" s="5" t="inlineStr">
        <is>
          <t>Product Owner Engagement</t>
        </is>
      </c>
      <c r="B72" s="6" t="n"/>
      <c r="C72" s="6" t="n"/>
    </row>
    <row r="73" ht="22" customHeight="1">
      <c r="A73" s="14" t="inlineStr">
        <is>
          <t>Level</t>
        </is>
      </c>
      <c r="B73" s="14" t="inlineStr">
        <is>
          <t>Description</t>
        </is>
      </c>
      <c r="C73" s="14" t="inlineStr">
        <is>
          <t>Quantitative Measure</t>
        </is>
      </c>
    </row>
    <row r="74" ht="42" customHeight="1">
      <c r="A74" s="58" t="inlineStr">
        <is>
          <t>1 — Initial</t>
        </is>
      </c>
      <c r="B74" s="59" t="inlineStr">
        <is>
          <t>No engagement between detection engineering and product/platform owners. Detection needs are not communicated to tool vendors or platform teams.</t>
        </is>
      </c>
      <c r="C74" s="59" t="inlineStr">
        <is>
          <t>Zero structured engagements with product owners.</t>
        </is>
      </c>
    </row>
    <row r="75" ht="42" customHeight="1">
      <c r="A75" s="60" t="inlineStr">
        <is>
          <t>2 — Repeatable</t>
        </is>
      </c>
      <c r="B75" s="61" t="inlineStr">
        <is>
          <t>Occasional ad hoc engagement with product owners, typically reactive to issues or gaps discovered during detection development.</t>
        </is>
      </c>
      <c r="C75" s="61" t="inlineStr">
        <is>
          <t>1-2 engagements per quarter; reactive only.</t>
        </is>
      </c>
    </row>
    <row r="76" ht="42" customHeight="1">
      <c r="A76" s="62" t="inlineStr">
        <is>
          <t>3 — Defined</t>
        </is>
      </c>
      <c r="B76" s="63" t="inlineStr">
        <is>
          <t>Regular engagement with product owners to communicate detection needs, request features, and provide feedback on platform capabilities.</t>
        </is>
      </c>
      <c r="C76" s="63" t="inlineStr">
        <is>
          <t>Quarterly structured engagements; feature requests tracked.</t>
        </is>
      </c>
    </row>
    <row r="77" ht="42" customHeight="1">
      <c r="A77" s="64" t="inlineStr">
        <is>
          <t>4 — Managed</t>
        </is>
      </c>
      <c r="B77" s="65" t="inlineStr">
        <is>
          <t>Proactive partnership with product owners. Detection requirements are integrated into product roadmaps. Regular feedback loops established.</t>
        </is>
      </c>
      <c r="C77" s="65" t="inlineStr">
        <is>
          <t>Monthly engagements; &gt;50% of feature requests on product roadmap.</t>
        </is>
      </c>
    </row>
    <row r="78" ht="42" customHeight="1">
      <c r="A78" s="66" t="inlineStr">
        <is>
          <t>5 — Optimized</t>
        </is>
      </c>
      <c r="B78" s="67" t="inlineStr">
        <is>
          <t>Continuous, proactive engagement. Detection needs directly influence product development. Joint planning and shared success metrics.</t>
        </is>
      </c>
      <c r="C78" s="67" t="inlineStr">
        <is>
          <t>&gt;90% of detection requirements reflected in product roadmap changes.</t>
        </is>
      </c>
    </row>
    <row r="80" ht="26" customHeight="1">
      <c r="A80" s="5" t="inlineStr">
        <is>
          <t>Release Testing and Validation</t>
        </is>
      </c>
      <c r="B80" s="6" t="n"/>
      <c r="C80" s="6" t="n"/>
    </row>
    <row r="81" ht="22" customHeight="1">
      <c r="A81" s="14" t="inlineStr">
        <is>
          <t>Level</t>
        </is>
      </c>
      <c r="B81" s="14" t="inlineStr">
        <is>
          <t>Description</t>
        </is>
      </c>
      <c r="C81" s="14" t="inlineStr">
        <is>
          <t>Quantitative Measure</t>
        </is>
      </c>
    </row>
    <row r="82" ht="42" customHeight="1">
      <c r="A82" s="58" t="inlineStr">
        <is>
          <t>1 — Initial</t>
        </is>
      </c>
      <c r="B82" s="59" t="inlineStr">
        <is>
          <t>No formal testing before rule deployment. Rules are pushed to production without validation.</t>
        </is>
      </c>
      <c r="C82" s="59" t="inlineStr">
        <is>
          <t>&lt;20% of rules tested before deployment.</t>
        </is>
      </c>
    </row>
    <row r="83" ht="42" customHeight="1">
      <c r="A83" s="60" t="inlineStr">
        <is>
          <t>2 — Repeatable</t>
        </is>
      </c>
      <c r="B83" s="61" t="inlineStr">
        <is>
          <t>Basic manual testing on some rules before deployment. No standardized testing process or test environments.</t>
        </is>
      </c>
      <c r="C83" s="61" t="inlineStr">
        <is>
          <t>20-40% of rules tested; manual testing only.</t>
        </is>
      </c>
    </row>
    <row r="84" ht="42" customHeight="1">
      <c r="A84" s="62" t="inlineStr">
        <is>
          <t>3 — Defined</t>
        </is>
      </c>
      <c r="B84" s="63" t="inlineStr">
        <is>
          <t>Standardized testing process with defined test cases. Most rules are tested before deployment in a staging environment.</t>
        </is>
      </c>
      <c r="C84" s="63" t="inlineStr">
        <is>
          <t>50-70% of rules tested; staging environment available.</t>
        </is>
      </c>
    </row>
    <row r="85" ht="42" customHeight="1">
      <c r="A85" s="64" t="inlineStr">
        <is>
          <t>4 — Managed</t>
        </is>
      </c>
      <c r="B85" s="65" t="inlineStr">
        <is>
          <t>Comprehensive testing including unit tests, integration tests, and emulation-based validation. Rapid deployment capability for emerging threats.</t>
        </is>
      </c>
      <c r="C85" s="65" t="inlineStr">
        <is>
          <t>70-90% automated testing; 24-hour deployment capability for critical threats.</t>
        </is>
      </c>
    </row>
    <row r="86" ht="42" customHeight="1">
      <c r="A86" s="66" t="inlineStr">
        <is>
          <t>5 — Optimized</t>
        </is>
      </c>
      <c r="B86" s="67" t="inlineStr">
        <is>
          <t>Continuous, automated testing with real-time feedback. Full CI/CD pipeline with automated validation before every deployment.</t>
        </is>
      </c>
      <c r="C86" s="67" t="inlineStr">
        <is>
          <t>90-100% automated testing; continuous validation in CI/CD pipeline.</t>
        </is>
      </c>
    </row>
    <row r="88" ht="30" customHeight="1">
      <c r="A88" s="15" t="inlineStr">
        <is>
          <t xml:space="preserve">  Tier 2: Intermediate</t>
        </is>
      </c>
      <c r="B88" s="4" t="n"/>
      <c r="C88" s="4" t="n"/>
    </row>
    <row r="89" ht="36" customHeight="1">
      <c r="A89" s="57" t="inlineStr">
        <is>
          <t>Focuses on improving detection quality through tuning, gap analysis, and systematic internal validation.</t>
        </is>
      </c>
      <c r="B89" s="6" t="n"/>
      <c r="C89" s="6" t="n"/>
    </row>
    <row r="90" ht="26" customHeight="1">
      <c r="A90" s="5" t="inlineStr">
        <is>
          <t>False Positive Tuning and Reduction</t>
        </is>
      </c>
      <c r="B90" s="6" t="n"/>
      <c r="C90" s="6" t="n"/>
    </row>
    <row r="91" ht="22" customHeight="1">
      <c r="A91" s="14" t="inlineStr">
        <is>
          <t>Level</t>
        </is>
      </c>
      <c r="B91" s="14" t="inlineStr">
        <is>
          <t>Description</t>
        </is>
      </c>
      <c r="C91" s="14" t="inlineStr">
        <is>
          <t>Quantitative Measure</t>
        </is>
      </c>
    </row>
    <row r="92" ht="42" customHeight="1">
      <c r="A92" s="58" t="inlineStr">
        <is>
          <t>1 — Initial</t>
        </is>
      </c>
      <c r="B92" s="59" t="inlineStr">
        <is>
          <t>Minimal or no tuning of detection rules. High false positive rates accepted as normal, contributing to alert fatigue.</t>
        </is>
      </c>
      <c r="C92" s="59" t="inlineStr">
        <is>
          <t>No measurable FP reduction efforts.</t>
        </is>
      </c>
    </row>
    <row r="93" ht="42" customHeight="1">
      <c r="A93" s="60" t="inlineStr">
        <is>
          <t>2 — Repeatable</t>
        </is>
      </c>
      <c r="B93" s="61" t="inlineStr">
        <is>
          <t>Some tuning performed reactively when analysts complain. No systematic tracking of false positive rates.</t>
        </is>
      </c>
      <c r="C93" s="61" t="inlineStr">
        <is>
          <t>10-25% FP reduction from initial baseline; sporadic tuning.</t>
        </is>
      </c>
    </row>
    <row r="94" ht="42" customHeight="1">
      <c r="A94" s="62" t="inlineStr">
        <is>
          <t>3 — Defined</t>
        </is>
      </c>
      <c r="B94" s="63" t="inlineStr">
        <is>
          <t>Regular tuning cycles with tracked FP rates per rule. Tuning is documented and follows a defined process.</t>
        </is>
      </c>
      <c r="C94" s="63" t="inlineStr">
        <is>
          <t>25-50% FP reduction; quarterly tuning cycles; FP rates tracked per rule.</t>
        </is>
      </c>
    </row>
    <row r="95" ht="42" customHeight="1">
      <c r="A95" s="64" t="inlineStr">
        <is>
          <t>4 — Managed</t>
        </is>
      </c>
      <c r="B95" s="65" t="inlineStr">
        <is>
          <t>Comprehensive FP management with automated tuning suggestions, risk-based alert scoring, and continuous monitoring.</t>
        </is>
      </c>
      <c r="C95" s="65" t="inlineStr">
        <is>
          <t>&gt;50% FP reduction; automated tuning recommendations; risk-based scoring.</t>
        </is>
      </c>
    </row>
    <row r="96" ht="42" customHeight="1">
      <c r="A96" s="66" t="inlineStr">
        <is>
          <t>5 — Optimized</t>
        </is>
      </c>
      <c r="B96" s="67" t="inlineStr">
        <is>
          <t>Automated and dynamic tuning with machine learning. Near-zero unnecessary alert noise. Continuous optimization.</t>
        </is>
      </c>
      <c r="C96" s="67" t="inlineStr">
        <is>
          <t>&gt;75% FP reduction from baseline; ML-assisted tuning; continuous optimization.</t>
        </is>
      </c>
    </row>
    <row r="98" ht="26" customHeight="1">
      <c r="A98" s="5" t="inlineStr">
        <is>
          <t>Gap Analysis and Documentation</t>
        </is>
      </c>
      <c r="B98" s="6" t="n"/>
      <c r="C98" s="6" t="n"/>
    </row>
    <row r="99" ht="22" customHeight="1">
      <c r="A99" s="14" t="inlineStr">
        <is>
          <t>Level</t>
        </is>
      </c>
      <c r="B99" s="14" t="inlineStr">
        <is>
          <t>Description</t>
        </is>
      </c>
      <c r="C99" s="14" t="inlineStr">
        <is>
          <t>Quantitative Measure</t>
        </is>
      </c>
    </row>
    <row r="100" ht="42" customHeight="1">
      <c r="A100" s="58" t="inlineStr">
        <is>
          <t>1 — Initial</t>
        </is>
      </c>
      <c r="B100" s="59" t="inlineStr">
        <is>
          <t>No gap analysis performed. Detection coverage gaps are unknown and undocumented.</t>
        </is>
      </c>
      <c r="C100" s="59" t="inlineStr">
        <is>
          <t>Zero gaps formally documented.</t>
        </is>
      </c>
    </row>
    <row r="101" ht="42" customHeight="1">
      <c r="A101" s="60" t="inlineStr">
        <is>
          <t>2 — Repeatable</t>
        </is>
      </c>
      <c r="B101" s="61" t="inlineStr">
        <is>
          <t>Some gaps identified informally, typically after incidents expose missing detections. Documentation is inconsistent.</t>
        </is>
      </c>
      <c r="C101" s="61" t="inlineStr">
        <is>
          <t>1-3 gaps documented; reactive identification only.</t>
        </is>
      </c>
    </row>
    <row r="102" ht="42" customHeight="1">
      <c r="A102" s="62" t="inlineStr">
        <is>
          <t>3 — Defined</t>
        </is>
      </c>
      <c r="B102" s="63" t="inlineStr">
        <is>
          <t>Regular gap analysis performed against ATT&amp;CK or similar frameworks. Gaps are documented, prioritized, and communicated to stakeholders.</t>
        </is>
      </c>
      <c r="C102" s="63" t="inlineStr">
        <is>
          <t>5+ gaps documented quarterly; prioritized against threat model.</t>
        </is>
      </c>
    </row>
    <row r="103" ht="42" customHeight="1">
      <c r="A103" s="64" t="inlineStr">
        <is>
          <t>4 — Managed</t>
        </is>
      </c>
      <c r="B103" s="65" t="inlineStr">
        <is>
          <t>Comprehensive gap analysis integrated with threat modeling and risk assessment. Gaps drive the detection roadmap.</t>
        </is>
      </c>
      <c r="C103" s="65" t="inlineStr">
        <is>
          <t>Continuous gap tracking; gaps integrated into roadmap; stakeholder reporting.</t>
        </is>
      </c>
    </row>
    <row r="104" ht="42" customHeight="1">
      <c r="A104" s="66" t="inlineStr">
        <is>
          <t>5 — Optimized</t>
        </is>
      </c>
      <c r="B104" s="67" t="inlineStr">
        <is>
          <t>Automated gap analysis using advanced analytics. Real-time coverage mapping with automated prioritization.</t>
        </is>
      </c>
      <c r="C104" s="67" t="inlineStr">
        <is>
          <t>Automated continuous gap analysis; real-time coverage dashboards.</t>
        </is>
      </c>
    </row>
    <row r="106" ht="26" customHeight="1">
      <c r="A106" s="5" t="inlineStr">
        <is>
          <t>Internal Testing and Validation</t>
        </is>
      </c>
      <c r="B106" s="6" t="n"/>
      <c r="C106" s="6" t="n"/>
    </row>
    <row r="107" ht="22" customHeight="1">
      <c r="A107" s="14" t="inlineStr">
        <is>
          <t>Level</t>
        </is>
      </c>
      <c r="B107" s="14" t="inlineStr">
        <is>
          <t>Description</t>
        </is>
      </c>
      <c r="C107" s="14" t="inlineStr">
        <is>
          <t>Quantitative Measure</t>
        </is>
      </c>
    </row>
    <row r="108" ht="42" customHeight="1">
      <c r="A108" s="58" t="inlineStr">
        <is>
          <t>1 — Initial</t>
        </is>
      </c>
      <c r="B108" s="59" t="inlineStr">
        <is>
          <t>No internal testing of detection effectiveness. Rules are assumed to work once deployed.</t>
        </is>
      </c>
      <c r="C108" s="59" t="inlineStr">
        <is>
          <t>Zero internal testing activities.</t>
        </is>
      </c>
    </row>
    <row r="109" ht="42" customHeight="1">
      <c r="A109" s="60" t="inlineStr">
        <is>
          <t>2 — Repeatable</t>
        </is>
      </c>
      <c r="B109" s="61" t="inlineStr">
        <is>
          <t>Occasional manual testing of high-priority rules. Basic atomic tests run sporadically.</t>
        </is>
      </c>
      <c r="C109" s="61" t="inlineStr">
        <is>
          <t>&lt;40% emulation coverage; sporadic testing.</t>
        </is>
      </c>
    </row>
    <row r="110" ht="42" customHeight="1">
      <c r="A110" s="62" t="inlineStr">
        <is>
          <t>3 — Defined</t>
        </is>
      </c>
      <c r="B110" s="63" t="inlineStr">
        <is>
          <t>Regular testing program with attack emulation (e.g., Atomic Red Team, Caldera) covering major detection categories. Results documented and tracked.</t>
        </is>
      </c>
      <c r="C110" s="63" t="inlineStr">
        <is>
          <t>40-70% emulation coverage; at least quarterly testing cycles.</t>
        </is>
      </c>
    </row>
    <row r="111" ht="42" customHeight="1">
      <c r="A111" s="64" t="inlineStr">
        <is>
          <t>4 — Managed</t>
        </is>
      </c>
      <c r="B111" s="65" t="inlineStr">
        <is>
          <t>Comprehensive internal testing with automated attack emulation, purple team exercises, and continuous validation.</t>
        </is>
      </c>
      <c r="C111" s="65" t="inlineStr">
        <is>
          <t>70-90% automated emulation coverage; regular purple team exercises.</t>
        </is>
      </c>
    </row>
    <row r="112" ht="42" customHeight="1">
      <c r="A112" s="66" t="inlineStr">
        <is>
          <t>5 — Optimized</t>
        </is>
      </c>
      <c r="B112" s="67" t="inlineStr">
        <is>
          <t>Continuous automated testing with real-time validation. Full emulation coverage with automated regression testing on every rule change.</t>
        </is>
      </c>
      <c r="C112" s="67" t="inlineStr">
        <is>
          <t>&gt;90% automated coverage; continuous validation; automated regression on every change.</t>
        </is>
      </c>
    </row>
    <row r="114" ht="30" customHeight="1">
      <c r="A114" s="15" t="inlineStr">
        <is>
          <t xml:space="preserve">  Tier 3: Advanced</t>
        </is>
      </c>
      <c r="B114" s="4" t="n"/>
      <c r="C114" s="4" t="n"/>
    </row>
    <row r="115" ht="36" customHeight="1">
      <c r="A115" s="57" t="inlineStr">
        <is>
          <t>Addresses false negatives, external validation, and advanced threat coverage to ensure detections catch real attacks.</t>
        </is>
      </c>
      <c r="B115" s="6" t="n"/>
      <c r="C115" s="6" t="n"/>
    </row>
    <row r="116" ht="26" customHeight="1">
      <c r="A116" s="5" t="inlineStr">
        <is>
          <t>False Negative Triage</t>
        </is>
      </c>
      <c r="B116" s="6" t="n"/>
      <c r="C116" s="6" t="n"/>
    </row>
    <row r="117" ht="22" customHeight="1">
      <c r="A117" s="14" t="inlineStr">
        <is>
          <t>Level</t>
        </is>
      </c>
      <c r="B117" s="14" t="inlineStr">
        <is>
          <t>Description</t>
        </is>
      </c>
      <c r="C117" s="14" t="inlineStr">
        <is>
          <t>Quantitative Measure</t>
        </is>
      </c>
    </row>
    <row r="118" ht="42" customHeight="1">
      <c r="A118" s="58" t="inlineStr">
        <is>
          <t>1 — Initial</t>
        </is>
      </c>
      <c r="B118" s="59" t="inlineStr">
        <is>
          <t>No process for identifying or triaging false negatives. Missed detections are only discovered during incident response.</t>
        </is>
      </c>
      <c r="C118" s="59" t="inlineStr">
        <is>
          <t>Zero FN reduction activities.</t>
        </is>
      </c>
    </row>
    <row r="119" ht="42" customHeight="1">
      <c r="A119" s="60" t="inlineStr">
        <is>
          <t>2 — Repeatable</t>
        </is>
      </c>
      <c r="B119" s="61" t="inlineStr">
        <is>
          <t>Some false negatives identified through post-incident reviews. Basic tracking of missed detections.</t>
        </is>
      </c>
      <c r="C119" s="61" t="inlineStr">
        <is>
          <t>50% of tested samples trigger expected alerts.</t>
        </is>
      </c>
    </row>
    <row r="120" ht="42" customHeight="1">
      <c r="A120" s="62" t="inlineStr">
        <is>
          <t>3 — Defined</t>
        </is>
      </c>
      <c r="B120" s="63" t="inlineStr">
        <is>
          <t>Systematic false negative identification through regular testing and validation exercises. Root causes are analyzed and documented.</t>
        </is>
      </c>
      <c r="C120" s="63" t="inlineStr">
        <is>
          <t>70-90% of tested samples trigger alerts; root cause analysis documented; 30-50% FN reduction from baseline.</t>
        </is>
      </c>
    </row>
    <row r="121" ht="42" customHeight="1">
      <c r="A121" s="64" t="inlineStr">
        <is>
          <t>4 — Managed</t>
        </is>
      </c>
      <c r="B121" s="65" t="inlineStr">
        <is>
          <t>Comprehensive FN management with automated detection validation, coverage testing, and rapid remediation processes.</t>
        </is>
      </c>
      <c r="C121" s="65" t="inlineStr">
        <is>
          <t>90-100% of tested samples trigger alerts; automated validation; &gt;50% FN reduction.</t>
        </is>
      </c>
    </row>
    <row r="122" ht="42" customHeight="1">
      <c r="A122" s="66" t="inlineStr">
        <is>
          <t>5 — Optimized</t>
        </is>
      </c>
      <c r="B122" s="67" t="inlineStr">
        <is>
          <t>Continuous, automated false negative detection using advanced analytics and real-time validation against live threats.</t>
        </is>
      </c>
      <c r="C122" s="67" t="inlineStr">
        <is>
          <t>Continuous validation; near-zero FN rate on tested scenarios; &gt;75% FN reduction.</t>
        </is>
      </c>
    </row>
    <row r="124" ht="26" customHeight="1">
      <c r="A124" s="5" t="inlineStr">
        <is>
          <t>External Validation</t>
        </is>
      </c>
      <c r="B124" s="6" t="n"/>
      <c r="C124" s="6" t="n"/>
    </row>
    <row r="125" ht="22" customHeight="1">
      <c r="A125" s="14" t="inlineStr">
        <is>
          <t>Level</t>
        </is>
      </c>
      <c r="B125" s="14" t="inlineStr">
        <is>
          <t>Description</t>
        </is>
      </c>
      <c r="C125" s="14" t="inlineStr">
        <is>
          <t>Quantitative Measure</t>
        </is>
      </c>
    </row>
    <row r="126" ht="42" customHeight="1">
      <c r="A126" s="58" t="inlineStr">
        <is>
          <t>1 — Initial</t>
        </is>
      </c>
      <c r="B126" s="59" t="inlineStr">
        <is>
          <t>No external validation of detection capabilities. No red team, penetration testing, or third-party assessment of detections.</t>
        </is>
      </c>
      <c r="C126" s="59" t="inlineStr">
        <is>
          <t>Zero external validation exercises.</t>
        </is>
      </c>
    </row>
    <row r="127" ht="42" customHeight="1">
      <c r="A127" s="60" t="inlineStr">
        <is>
          <t>2 — Repeatable</t>
        </is>
      </c>
      <c r="B127" s="61" t="inlineStr">
        <is>
          <t>Occasional external validation, typically annual penetration tests with some detection assessment included.</t>
        </is>
      </c>
      <c r="C127" s="61" t="inlineStr">
        <is>
          <t>1 external validation exercise per year.</t>
        </is>
      </c>
    </row>
    <row r="128" ht="42" customHeight="1">
      <c r="A128" s="62" t="inlineStr">
        <is>
          <t>3 — Defined</t>
        </is>
      </c>
      <c r="B128" s="63" t="inlineStr">
        <is>
          <t>Regular external validation through red team engagements or third-party assessments focused on detection effectiveness.</t>
        </is>
      </c>
      <c r="C128" s="63" t="inlineStr">
        <is>
          <t>&gt;1 external exercise per year; findings drive detection improvements.</t>
        </is>
      </c>
    </row>
    <row r="129" ht="42" customHeight="1">
      <c r="A129" s="64" t="inlineStr">
        <is>
          <t>4 — Managed</t>
        </is>
      </c>
      <c r="B129" s="65" t="inlineStr">
        <is>
          <t>Multiple external validation exercises annually including red team, purple team, and breach simulation. Systematic feedback integration.</t>
        </is>
      </c>
      <c r="C129" s="65" t="inlineStr">
        <is>
          <t>Multiple exercises per year; &gt;70% of findings remediated within 30 days.</t>
        </is>
      </c>
    </row>
    <row r="130" ht="42" customHeight="1">
      <c r="A130" s="66" t="inlineStr">
        <is>
          <t>5 — Optimized</t>
        </is>
      </c>
      <c r="B130" s="67" t="inlineStr">
        <is>
          <t>Continuous external validation with automated breach and attack simulation (BAS) tools and regular adversary emulation exercises.</t>
        </is>
      </c>
      <c r="C130" s="67" t="inlineStr">
        <is>
          <t>Continuous BAS; regular adversary emulation; real-time feedback loop.</t>
        </is>
      </c>
    </row>
    <row r="132" ht="26" customHeight="1">
      <c r="A132" s="5" t="inlineStr">
        <is>
          <t>Advanced TTP Coverage</t>
        </is>
      </c>
      <c r="B132" s="6" t="n"/>
      <c r="C132" s="6" t="n"/>
    </row>
    <row r="133" ht="22" customHeight="1">
      <c r="A133" s="14" t="inlineStr">
        <is>
          <t>Level</t>
        </is>
      </c>
      <c r="B133" s="14" t="inlineStr">
        <is>
          <t>Description</t>
        </is>
      </c>
      <c r="C133" s="14" t="inlineStr">
        <is>
          <t>Quantitative Measure</t>
        </is>
      </c>
    </row>
    <row r="134" ht="42" customHeight="1">
      <c r="A134" s="58" t="inlineStr">
        <is>
          <t>1 — Initial</t>
        </is>
      </c>
      <c r="B134" s="59" t="inlineStr">
        <is>
          <t>No coverage of advanced TTPs. Detections focus only on known signatures and basic indicators.</t>
        </is>
      </c>
      <c r="C134" s="59" t="inlineStr">
        <is>
          <t>Zero advanced TTP detections.</t>
        </is>
      </c>
    </row>
    <row r="135" ht="42" customHeight="1">
      <c r="A135" s="60" t="inlineStr">
        <is>
          <t>2 — Repeatable</t>
        </is>
      </c>
      <c r="B135" s="61" t="inlineStr">
        <is>
          <t>Limited coverage of some advanced TTPs, typically 1-3 techniques beyond basic signature detection.</t>
        </is>
      </c>
      <c r="C135" s="61" t="inlineStr">
        <is>
          <t>1-3 advanced TTP detections (e.g., living-off-the-land, fileless).</t>
        </is>
      </c>
    </row>
    <row r="136" ht="42" customHeight="1">
      <c r="A136" s="62" t="inlineStr">
        <is>
          <t>3 — Defined</t>
        </is>
      </c>
      <c r="B136" s="63" t="inlineStr">
        <is>
          <t>Growing coverage of advanced TTPs informed by threat intelligence. Behavioral detections supplement signature-based rules.</t>
        </is>
      </c>
      <c r="C136" s="63" t="inlineStr">
        <is>
          <t>3-5 advanced TTP detections; behavioral detection capabilities.</t>
        </is>
      </c>
    </row>
    <row r="137" ht="42" customHeight="1">
      <c r="A137" s="64" t="inlineStr">
        <is>
          <t>4 — Managed</t>
        </is>
      </c>
      <c r="B137" s="65" t="inlineStr">
        <is>
          <t>Comprehensive advanced TTP coverage including sophisticated evasion techniques, novel attack chains, and emerging threats.</t>
        </is>
      </c>
      <c r="C137" s="65" t="inlineStr">
        <is>
          <t>5+ advanced TTP detections; coverage of evasion and novel techniques.</t>
        </is>
      </c>
    </row>
    <row r="138" ht="42" customHeight="1">
      <c r="A138" s="66" t="inlineStr">
        <is>
          <t>5 — Optimized</t>
        </is>
      </c>
      <c r="B138" s="67" t="inlineStr">
        <is>
          <t>Continuous, proactive advanced TTP coverage using AI/ML for anomaly detection and automated response to emerging TTPs.</t>
        </is>
      </c>
      <c r="C138" s="67" t="inlineStr">
        <is>
          <t>Real-time advanced TTP detection; AI/ML-assisted; automated emerging threat coverage.</t>
        </is>
      </c>
    </row>
    <row r="140" ht="30" customHeight="1">
      <c r="A140" s="15" t="inlineStr">
        <is>
          <t xml:space="preserve">  Tier 4: Expert</t>
        </is>
      </c>
      <c r="B140" s="4" t="n"/>
      <c r="C140" s="4" t="n"/>
    </row>
    <row r="141" ht="36" customHeight="1">
      <c r="A141" s="57" t="inlineStr">
        <is>
          <t>Features proactive threat hunting, advanced automation, AI/LLM integration, and continuous improvement across the detection lifecycle.</t>
        </is>
      </c>
      <c r="B141" s="6" t="n"/>
      <c r="C141" s="6" t="n"/>
    </row>
    <row r="142" ht="26" customHeight="1">
      <c r="A142" s="5" t="inlineStr">
        <is>
          <t>Threat Hunting in Telemetry</t>
        </is>
      </c>
      <c r="B142" s="6" t="n"/>
      <c r="C142" s="6" t="n"/>
    </row>
    <row r="143" ht="22" customHeight="1">
      <c r="A143" s="14" t="inlineStr">
        <is>
          <t>Level</t>
        </is>
      </c>
      <c r="B143" s="14" t="inlineStr">
        <is>
          <t>Description</t>
        </is>
      </c>
      <c r="C143" s="14" t="inlineStr">
        <is>
          <t>Quantitative Measure</t>
        </is>
      </c>
    </row>
    <row r="144" ht="42" customHeight="1">
      <c r="A144" s="58" t="inlineStr">
        <is>
          <t>1 — Initial</t>
        </is>
      </c>
      <c r="B144" s="59" t="inlineStr">
        <is>
          <t>No proactive threat hunting activities. All detection is passive through deployed rules.</t>
        </is>
      </c>
      <c r="C144" s="59" t="inlineStr">
        <is>
          <t>Zero hunting activities.</t>
        </is>
      </c>
    </row>
    <row r="145" ht="42" customHeight="1">
      <c r="A145" s="60" t="inlineStr">
        <is>
          <t>2 — Repeatable</t>
        </is>
      </c>
      <c r="B145" s="61" t="inlineStr">
        <is>
          <t>Occasional ad hoc hunting triggered by intelligence or incidents. Findings are not systematically converted to detections.</t>
        </is>
      </c>
      <c r="C145" s="61" t="inlineStr">
        <is>
          <t>Bi-weekly hunting activities; &lt;30% of findings converted to rules.</t>
        </is>
      </c>
    </row>
    <row r="146" ht="42" customHeight="1">
      <c r="A146" s="62" t="inlineStr">
        <is>
          <t>3 — Defined</t>
        </is>
      </c>
      <c r="B146" s="63" t="inlineStr">
        <is>
          <t>Regular structured hunting program with hypotheses driven by intelligence. Findings are documented and fed into detection development.</t>
        </is>
      </c>
      <c r="C146" s="63" t="inlineStr">
        <is>
          <t>Weekly hunting; 50-70% of findings integrated into detection rules.</t>
        </is>
      </c>
    </row>
    <row r="147" ht="42" customHeight="1">
      <c r="A147" s="64" t="inlineStr">
        <is>
          <t>4 — Managed</t>
        </is>
      </c>
      <c r="B147" s="65" t="inlineStr">
        <is>
          <t>Comprehensive hunting program with daily activities, advanced analytics, and systematic integration of findings into detections.</t>
        </is>
      </c>
      <c r="C147" s="65" t="inlineStr">
        <is>
          <t>Daily hunting; &gt;90% of findings integrated; advanced analytics used.</t>
        </is>
      </c>
    </row>
    <row r="148" ht="42" customHeight="1">
      <c r="A148" s="66" t="inlineStr">
        <is>
          <t>5 — Optimized</t>
        </is>
      </c>
      <c r="B148" s="67" t="inlineStr">
        <is>
          <t>Automated real-time hunting augmented by AI/ML. Hunting outputs automatically generate detection rule candidates.</t>
        </is>
      </c>
      <c r="C148" s="67" t="inlineStr">
        <is>
          <t>Real-time automated hunting; AI-assisted hypothesis generation.</t>
        </is>
      </c>
    </row>
    <row r="150" ht="26" customHeight="1">
      <c r="A150" s="5" t="inlineStr">
        <is>
          <t>Automation and Continuous Improvement</t>
        </is>
      </c>
      <c r="B150" s="6" t="n"/>
      <c r="C150" s="6" t="n"/>
    </row>
    <row r="151" ht="22" customHeight="1">
      <c r="A151" s="14" t="inlineStr">
        <is>
          <t>Level</t>
        </is>
      </c>
      <c r="B151" s="14" t="inlineStr">
        <is>
          <t>Description</t>
        </is>
      </c>
      <c r="C151" s="14" t="inlineStr">
        <is>
          <t>Quantitative Measure</t>
        </is>
      </c>
    </row>
    <row r="152" ht="42" customHeight="1">
      <c r="A152" s="58" t="inlineStr">
        <is>
          <t>1 — Initial</t>
        </is>
      </c>
      <c r="B152" s="59" t="inlineStr">
        <is>
          <t>No automation of detection engineering tasks. All processes are manual and time-consuming.</t>
        </is>
      </c>
      <c r="C152" s="59" t="inlineStr">
        <is>
          <t>Zero automation of detection engineering tasks.</t>
        </is>
      </c>
    </row>
    <row r="153" ht="42" customHeight="1">
      <c r="A153" s="60" t="inlineStr">
        <is>
          <t>2 — Repeatable</t>
        </is>
      </c>
      <c r="B153" s="61" t="inlineStr">
        <is>
          <t>Basic automation of some repetitive tasks (e.g., rule deployment scripts). Mostly manual processes remain.</t>
        </is>
      </c>
      <c r="C153" s="61" t="inlineStr">
        <is>
          <t>&lt;30% of routine tasks automated.</t>
        </is>
      </c>
    </row>
    <row r="154" ht="42" customHeight="1">
      <c r="A154" s="62" t="inlineStr">
        <is>
          <t>3 — Defined</t>
        </is>
      </c>
      <c r="B154" s="63" t="inlineStr">
        <is>
          <t>Significant automation of rule lifecycle tasks including testing, deployment, and basic tuning. AI-based quality checks on new rules. Continuous improvement processes defined.</t>
        </is>
      </c>
      <c r="C154" s="63" t="inlineStr">
        <is>
          <t>40-60% of tasks automated; AI quality checks on new rules; improvement metrics tracked.</t>
        </is>
      </c>
    </row>
    <row r="155" ht="42" customHeight="1">
      <c r="A155" s="64" t="inlineStr">
        <is>
          <t>4 — Managed</t>
        </is>
      </c>
      <c r="B155" s="65" t="inlineStr">
        <is>
          <t>Advanced automation covering most of the detection lifecycle. AI/LLM tools used for rule optimization and analysis.</t>
        </is>
      </c>
      <c r="C155" s="65" t="inlineStr">
        <is>
          <t>70-80% automated; AI/LLM tools in use for optimization.</t>
        </is>
      </c>
    </row>
    <row r="156" ht="42" customHeight="1">
      <c r="A156" s="66" t="inlineStr">
        <is>
          <t>5 — Optimized</t>
        </is>
      </c>
      <c r="B156" s="67" t="inlineStr">
        <is>
          <t>Full generative AI/LLM integration throughout the detection lifecycle. Automated rule generation, tuning, and retirement.</t>
        </is>
      </c>
      <c r="C156" s="67" t="inlineStr">
        <is>
          <t>&gt;90% automated; 40%+ FP reduction via AI; full lifecycle AI integration.</t>
        </is>
      </c>
    </row>
    <row r="158" ht="16" customHeight="1"/>
    <row r="159" ht="28" customHeight="1">
      <c r="A159" s="33" t="inlineStr">
        <is>
          <t xml:space="preserve">  SUPPLEMENTARY DIMENSIONS</t>
        </is>
      </c>
      <c r="B159" s="34" t="n"/>
      <c r="C159" s="34" t="n"/>
    </row>
    <row r="160" ht="30" customHeight="1">
      <c r="A160" s="33" t="inlineStr">
        <is>
          <t xml:space="preserve">  People &amp; Organization</t>
        </is>
      </c>
      <c r="B160" s="34" t="n"/>
      <c r="C160" s="34" t="n"/>
    </row>
    <row r="161" ht="36" customHeight="1">
      <c r="A161" s="68" t="inlineStr">
        <is>
          <t>Assesses the human and organizational factors that enable effective detection engineering, drawn from Kyle Bailey's Detection Engineering Maturity Matrix.</t>
        </is>
      </c>
      <c r="B161" s="30" t="n"/>
      <c r="C161" s="30" t="n"/>
    </row>
    <row r="162" ht="26" customHeight="1">
      <c r="A162" s="29" t="inlineStr">
        <is>
          <t>Team Structure and Dedicated Roles</t>
        </is>
      </c>
      <c r="B162" s="30" t="n"/>
      <c r="C162" s="30" t="n"/>
    </row>
    <row r="163" ht="22" customHeight="1">
      <c r="A163" s="14" t="inlineStr">
        <is>
          <t>Level</t>
        </is>
      </c>
      <c r="B163" s="14" t="inlineStr">
        <is>
          <t>Description</t>
        </is>
      </c>
      <c r="C163" s="14" t="inlineStr">
        <is>
          <t>Quantitative Measure</t>
        </is>
      </c>
    </row>
    <row r="164" ht="42" customHeight="1">
      <c r="A164" s="58" t="inlineStr">
        <is>
          <t>1 — Initial</t>
        </is>
      </c>
      <c r="B164" s="59" t="inlineStr">
        <is>
          <t>No dedicated detection engineering roles. Detection work is done part-time by SOC analysts or other security staff as a side task.</t>
        </is>
      </c>
      <c r="C164" s="59" t="inlineStr">
        <is>
          <t>Zero dedicated detection engineering FTEs.</t>
        </is>
      </c>
    </row>
    <row r="165" ht="42" customHeight="1">
      <c r="A165" s="60" t="inlineStr">
        <is>
          <t>2 — Repeatable</t>
        </is>
      </c>
      <c r="B165" s="61" t="inlineStr">
        <is>
          <t>One or more staff have detection engineering as a partial responsibility. No formal team structure or career path.</t>
        </is>
      </c>
      <c r="C165" s="61" t="inlineStr">
        <is>
          <t>Part-time detection engineering; no dedicated team.</t>
        </is>
      </c>
    </row>
    <row r="166" ht="42" customHeight="1">
      <c r="A166" s="62" t="inlineStr">
        <is>
          <t>3 — Defined</t>
        </is>
      </c>
      <c r="B166" s="63" t="inlineStr">
        <is>
          <t>Dedicated detection engineering role(s) or team established. Clear responsibilities and basic career progression defined.</t>
        </is>
      </c>
      <c r="C166" s="63" t="inlineStr">
        <is>
          <t>At least 1 dedicated FTE; defined role and responsibilities.</t>
        </is>
      </c>
    </row>
    <row r="167" ht="42" customHeight="1">
      <c r="A167" s="64" t="inlineStr">
        <is>
          <t>4 — Managed</t>
        </is>
      </c>
      <c r="B167" s="65" t="inlineStr">
        <is>
          <t>Established detection engineering team with subject matter experts across key domains (host, network, cloud, application).</t>
        </is>
      </c>
      <c r="C167" s="65" t="inlineStr">
        <is>
          <t>Multi-person team with domain specialization; defined career ladder.</t>
        </is>
      </c>
    </row>
    <row r="168" ht="42" customHeight="1">
      <c r="A168" s="66" t="inlineStr">
        <is>
          <t>5 — Optimized</t>
        </is>
      </c>
      <c r="B168" s="67" t="inlineStr">
        <is>
          <t>Mature team with deep specialization, mentorship programs, and influence on organizational security strategy.</t>
        </is>
      </c>
      <c r="C168" s="67" t="inlineStr">
        <is>
          <t>Full team with domain experts; mentorship program; strategic influence.</t>
        </is>
      </c>
    </row>
    <row r="170" ht="26" customHeight="1">
      <c r="A170" s="29" t="inlineStr">
        <is>
          <t>Skills Development and Training</t>
        </is>
      </c>
      <c r="B170" s="30" t="n"/>
      <c r="C170" s="30" t="n"/>
    </row>
    <row r="171" ht="22" customHeight="1">
      <c r="A171" s="14" t="inlineStr">
        <is>
          <t>Level</t>
        </is>
      </c>
      <c r="B171" s="14" t="inlineStr">
        <is>
          <t>Description</t>
        </is>
      </c>
      <c r="C171" s="14" t="inlineStr">
        <is>
          <t>Quantitative Measure</t>
        </is>
      </c>
    </row>
    <row r="172" ht="42" customHeight="1">
      <c r="A172" s="58" t="inlineStr">
        <is>
          <t>1 — Initial</t>
        </is>
      </c>
      <c r="B172" s="59" t="inlineStr">
        <is>
          <t>No formal training or skills development for detection engineering. Learning is self-directed with no organizational support.</t>
        </is>
      </c>
      <c r="C172" s="59" t="inlineStr">
        <is>
          <t>Zero training budget or programs for detection engineering.</t>
        </is>
      </c>
    </row>
    <row r="173" ht="42" customHeight="1">
      <c r="A173" s="60" t="inlineStr">
        <is>
          <t>2 — Repeatable</t>
        </is>
      </c>
      <c r="B173" s="61" t="inlineStr">
        <is>
          <t>Some ad hoc training available. Individuals may attend conferences or take courses, but there is no structured program.</t>
        </is>
      </c>
      <c r="C173" s="61" t="inlineStr">
        <is>
          <t>Occasional training; no structured development program.</t>
        </is>
      </c>
    </row>
    <row r="174" ht="42" customHeight="1">
      <c r="A174" s="62" t="inlineStr">
        <is>
          <t>3 — Defined</t>
        </is>
      </c>
      <c r="B174" s="63" t="inlineStr">
        <is>
          <t>Defined training program covering core detection engineering skills. Regular knowledge sharing sessions within the team.</t>
        </is>
      </c>
      <c r="C174" s="63" t="inlineStr">
        <is>
          <t>Annual training plan; regular knowledge sharing; defined skill requirements.</t>
        </is>
      </c>
    </row>
    <row r="175" ht="42" customHeight="1">
      <c r="A175" s="64" t="inlineStr">
        <is>
          <t>4 — Managed</t>
        </is>
      </c>
      <c r="B175" s="65" t="inlineStr">
        <is>
          <t>Comprehensive training covering advanced topics. Cross-training with related teams (IR, threat intel, engineering). Certifications supported.</t>
        </is>
      </c>
      <c r="C175" s="65" t="inlineStr">
        <is>
          <t>Advanced training program; cross-training; certification support.</t>
        </is>
      </c>
    </row>
    <row r="176" ht="42" customHeight="1">
      <c r="A176" s="66" t="inlineStr">
        <is>
          <t>5 — Optimized</t>
        </is>
      </c>
      <c r="B176" s="67" t="inlineStr">
        <is>
          <t>Continuous learning culture with advanced training, conference participation, community contribution, and internal research programs.</t>
        </is>
      </c>
      <c r="C176" s="67" t="inlineStr">
        <is>
          <t>Continuous development; community contribution; internal research.</t>
        </is>
      </c>
    </row>
    <row r="178" ht="26" customHeight="1">
      <c r="A178" s="29" t="inlineStr">
        <is>
          <t>Leadership Commitment and Executive Sponsorship</t>
        </is>
      </c>
      <c r="B178" s="30" t="n"/>
      <c r="C178" s="30" t="n"/>
    </row>
    <row r="179" ht="22" customHeight="1">
      <c r="A179" s="14" t="inlineStr">
        <is>
          <t>Level</t>
        </is>
      </c>
      <c r="B179" s="14" t="inlineStr">
        <is>
          <t>Description</t>
        </is>
      </c>
      <c r="C179" s="14" t="inlineStr">
        <is>
          <t>Quantitative Measure</t>
        </is>
      </c>
    </row>
    <row r="180" ht="42" customHeight="1">
      <c r="A180" s="58" t="inlineStr">
        <is>
          <t>1 — Initial</t>
        </is>
      </c>
      <c r="B180" s="59" t="inlineStr">
        <is>
          <t>No executive awareness or sponsorship of detection engineering. The function is not recognized as a distinct capability.</t>
        </is>
      </c>
      <c r="C180" s="59" t="inlineStr">
        <is>
          <t>Zero executive engagement with detection engineering.</t>
        </is>
      </c>
    </row>
    <row r="181" ht="42" customHeight="1">
      <c r="A181" s="60" t="inlineStr">
        <is>
          <t>2 — Repeatable</t>
        </is>
      </c>
      <c r="B181" s="61" t="inlineStr">
        <is>
          <t>Some leadership awareness of detection engineering but no formal sponsorship or dedicated budget allocation.</t>
        </is>
      </c>
      <c r="C181" s="61" t="inlineStr">
        <is>
          <t>Informal awareness; no dedicated budget.</t>
        </is>
      </c>
    </row>
    <row r="182" ht="42" customHeight="1">
      <c r="A182" s="62" t="inlineStr">
        <is>
          <t>3 — Defined</t>
        </is>
      </c>
      <c r="B182" s="63" t="inlineStr">
        <is>
          <t>Executive sponsor identified. Detection engineering has a defined budget and is recognized as a distinct function.</t>
        </is>
      </c>
      <c r="C182" s="63" t="inlineStr">
        <is>
          <t>Dedicated budget; executive sponsor; function formally recognized.</t>
        </is>
      </c>
    </row>
    <row r="183" ht="42" customHeight="1">
      <c r="A183" s="64" t="inlineStr">
        <is>
          <t>4 — Managed</t>
        </is>
      </c>
      <c r="B183" s="65" t="inlineStr">
        <is>
          <t>Strong executive support with detection engineering metrics reported to leadership. Function influences security investment decisions.</t>
        </is>
      </c>
      <c r="C183" s="65" t="inlineStr">
        <is>
          <t>Regular executive reporting; metrics-driven investment decisions.</t>
        </is>
      </c>
    </row>
    <row r="184" ht="42" customHeight="1">
      <c r="A184" s="66" t="inlineStr">
        <is>
          <t>5 — Optimized</t>
        </is>
      </c>
      <c r="B184" s="67" t="inlineStr">
        <is>
          <t>Detection engineering is a strategic priority. Executive leadership actively champions the function and its value across the organization.</t>
        </is>
      </c>
      <c r="C184" s="67" t="inlineStr">
        <is>
          <t>Strategic priority; board-level visibility; cross-org influence.</t>
        </is>
      </c>
    </row>
    <row r="186" ht="30" customHeight="1">
      <c r="A186" s="33" t="inlineStr">
        <is>
          <t xml:space="preserve">  Process &amp; Governance</t>
        </is>
      </c>
      <c r="B186" s="34" t="n"/>
      <c r="C186" s="34" t="n"/>
    </row>
    <row r="187" ht="36" customHeight="1">
      <c r="A187" s="68" t="inlineStr">
        <is>
          <t>Assesses the process maturity and governance structures supporting detection engineering, drawn from Kyle Bailey's Detection Engineering Maturity Matrix.</t>
        </is>
      </c>
      <c r="B187" s="30" t="n"/>
      <c r="C187" s="30" t="n"/>
    </row>
    <row r="188" ht="26" customHeight="1">
      <c r="A188" s="29" t="inlineStr">
        <is>
          <t>Detection Lifecycle Workflow</t>
        </is>
      </c>
      <c r="B188" s="30" t="n"/>
      <c r="C188" s="30" t="n"/>
    </row>
    <row r="189" ht="22" customHeight="1">
      <c r="A189" s="14" t="inlineStr">
        <is>
          <t>Level</t>
        </is>
      </c>
      <c r="B189" s="14" t="inlineStr">
        <is>
          <t>Description</t>
        </is>
      </c>
      <c r="C189" s="14" t="inlineStr">
        <is>
          <t>Quantitative Measure</t>
        </is>
      </c>
    </row>
    <row r="190" ht="42" customHeight="1">
      <c r="A190" s="58" t="inlineStr">
        <is>
          <t>1 — Initial</t>
        </is>
      </c>
      <c r="B190" s="59" t="inlineStr">
        <is>
          <t>No defined detection lifecycle. Detections are created and deployed without a structured workflow from request to retirement.</t>
        </is>
      </c>
      <c r="C190" s="59" t="inlineStr">
        <is>
          <t>No documented lifecycle process.</t>
        </is>
      </c>
    </row>
    <row r="191" ht="42" customHeight="1">
      <c r="A191" s="60" t="inlineStr">
        <is>
          <t>2 — Repeatable</t>
        </is>
      </c>
      <c r="B191" s="61" t="inlineStr">
        <is>
          <t>Basic lifecycle exists covering creation and deployment, but lacks formal stages for request, review, testing, or retirement.</t>
        </is>
      </c>
      <c r="C191" s="61" t="inlineStr">
        <is>
          <t>Partial lifecycle; 2-3 stages defined.</t>
        </is>
      </c>
    </row>
    <row r="192" ht="42" customHeight="1">
      <c r="A192" s="62" t="inlineStr">
        <is>
          <t>3 — Defined</t>
        </is>
      </c>
      <c r="B192" s="63" t="inlineStr">
        <is>
          <t>Full detection lifecycle defined covering request, development, review, testing, deployment, monitoring, and retirement.</t>
        </is>
      </c>
      <c r="C192" s="63" t="inlineStr">
        <is>
          <t>Full lifecycle documented; all stages defined and followed.</t>
        </is>
      </c>
    </row>
    <row r="193" ht="42" customHeight="1">
      <c r="A193" s="64" t="inlineStr">
        <is>
          <t>4 — Managed</t>
        </is>
      </c>
      <c r="B193" s="65" t="inlineStr">
        <is>
          <t>Lifecycle is enforced through tooling and automation. SLAs defined for each stage. Metrics tracked for cycle time and throughput.</t>
        </is>
      </c>
      <c r="C193" s="65" t="inlineStr">
        <is>
          <t>Automated lifecycle enforcement; SLAs defined; cycle time tracked.</t>
        </is>
      </c>
    </row>
    <row r="194" ht="42" customHeight="1">
      <c r="A194" s="66" t="inlineStr">
        <is>
          <t>5 — Optimized</t>
        </is>
      </c>
      <c r="B194" s="67" t="inlineStr">
        <is>
          <t>Optimized lifecycle with continuous improvement. Automated stage transitions, predictive analytics for rule retirement.</t>
        </is>
      </c>
      <c r="C194" s="67" t="inlineStr">
        <is>
          <t>Fully automated lifecycle; predictive analytics; continuous optimization.</t>
        </is>
      </c>
    </row>
    <row r="196" ht="26" customHeight="1">
      <c r="A196" s="29" t="inlineStr">
        <is>
          <t>Metrics and KPI Tracking</t>
        </is>
      </c>
      <c r="B196" s="30" t="n"/>
      <c r="C196" s="30" t="n"/>
    </row>
    <row r="197" ht="22" customHeight="1">
      <c r="A197" s="14" t="inlineStr">
        <is>
          <t>Level</t>
        </is>
      </c>
      <c r="B197" s="14" t="inlineStr">
        <is>
          <t>Description</t>
        </is>
      </c>
      <c r="C197" s="14" t="inlineStr">
        <is>
          <t>Quantitative Measure</t>
        </is>
      </c>
    </row>
    <row r="198" ht="42" customHeight="1">
      <c r="A198" s="58" t="inlineStr">
        <is>
          <t>1 — Initial</t>
        </is>
      </c>
      <c r="B198" s="59" t="inlineStr">
        <is>
          <t>No metrics tracked for detection engineering performance. Success is anecdotal or unmeasured.</t>
        </is>
      </c>
      <c r="C198" s="59" t="inlineStr">
        <is>
          <t>Zero detection engineering KPIs defined or tracked.</t>
        </is>
      </c>
    </row>
    <row r="199" ht="42" customHeight="1">
      <c r="A199" s="60" t="inlineStr">
        <is>
          <t>2 — Repeatable</t>
        </is>
      </c>
      <c r="B199" s="61" t="inlineStr">
        <is>
          <t>Basic metrics tracked informally (e.g., number of rules, alert volume). No formal KPI program or dashboards.</t>
        </is>
      </c>
      <c r="C199" s="61" t="inlineStr">
        <is>
          <t>1-2 basic metrics tracked informally.</t>
        </is>
      </c>
    </row>
    <row r="200" ht="42" customHeight="1">
      <c r="A200" s="62" t="inlineStr">
        <is>
          <t>3 — Defined</t>
        </is>
      </c>
      <c r="B200" s="63" t="inlineStr">
        <is>
          <t>Defined KPIs covering key areas (coverage, quality, velocity). Regular reporting to stakeholders with dashboards.</t>
        </is>
      </c>
      <c r="C200" s="63" t="inlineStr">
        <is>
          <t>3-5 KPIs defined; quarterly reporting; dashboards available.</t>
        </is>
      </c>
    </row>
    <row r="201" ht="42" customHeight="1">
      <c r="A201" s="64" t="inlineStr">
        <is>
          <t>4 — Managed</t>
        </is>
      </c>
      <c r="B201" s="65" t="inlineStr">
        <is>
          <t>Comprehensive metrics program with automated collection, trending, and correlation. Metrics drive decision-making.</t>
        </is>
      </c>
      <c r="C201" s="65" t="inlineStr">
        <is>
          <t>5+ KPIs; automated collection; metrics-driven decisions.</t>
        </is>
      </c>
    </row>
    <row r="202" ht="42" customHeight="1">
      <c r="A202" s="66" t="inlineStr">
        <is>
          <t>5 — Optimized</t>
        </is>
      </c>
      <c r="B202" s="67" t="inlineStr">
        <is>
          <t>Advanced analytics on detection engineering performance. Predictive metrics, benchmarking, and continuous optimization based on data.</t>
        </is>
      </c>
      <c r="C202" s="67" t="inlineStr">
        <is>
          <t>Predictive analytics; benchmarking; data-driven continuous optimization.</t>
        </is>
      </c>
    </row>
    <row r="204" ht="26" customHeight="1">
      <c r="A204" s="29" t="inlineStr">
        <is>
          <t>Cross-Team Collaboration</t>
        </is>
      </c>
      <c r="B204" s="30" t="n"/>
      <c r="C204" s="30" t="n"/>
    </row>
    <row r="205" ht="22" customHeight="1">
      <c r="A205" s="14" t="inlineStr">
        <is>
          <t>Level</t>
        </is>
      </c>
      <c r="B205" s="14" t="inlineStr">
        <is>
          <t>Description</t>
        </is>
      </c>
      <c r="C205" s="14" t="inlineStr">
        <is>
          <t>Quantitative Measure</t>
        </is>
      </c>
    </row>
    <row r="206" ht="42" customHeight="1">
      <c r="A206" s="58" t="inlineStr">
        <is>
          <t>1 — Initial</t>
        </is>
      </c>
      <c r="B206" s="59" t="inlineStr">
        <is>
          <t>Detection engineering operates in isolation. No structured collaboration with incident response, threat intelligence, or engineering teams.</t>
        </is>
      </c>
      <c r="C206" s="59" t="inlineStr">
        <is>
          <t>Zero structured cross-team interactions.</t>
        </is>
      </c>
    </row>
    <row r="207" ht="42" customHeight="1">
      <c r="A207" s="60" t="inlineStr">
        <is>
          <t>2 — Repeatable</t>
        </is>
      </c>
      <c r="B207" s="61" t="inlineStr">
        <is>
          <t>Ad hoc collaboration with other teams, typically reactive to incidents or specific requests.</t>
        </is>
      </c>
      <c r="C207" s="61" t="inlineStr">
        <is>
          <t>Occasional reactive collaboration; no formal processes.</t>
        </is>
      </c>
    </row>
    <row r="208" ht="42" customHeight="1">
      <c r="A208" s="62" t="inlineStr">
        <is>
          <t>3 — Defined</t>
        </is>
      </c>
      <c r="B208" s="63" t="inlineStr">
        <is>
          <t>Regular collaboration with IR, threat intel, and engineering teams through defined channels and scheduled touchpoints.</t>
        </is>
      </c>
      <c r="C208" s="63" t="inlineStr">
        <is>
          <t>Regular scheduled touchpoints; defined collaboration channels.</t>
        </is>
      </c>
    </row>
    <row r="209" ht="42" customHeight="1">
      <c r="A209" s="64" t="inlineStr">
        <is>
          <t>4 — Managed</t>
        </is>
      </c>
      <c r="B209" s="65" t="inlineStr">
        <is>
          <t>Deep integration with related teams. Joint planning, shared objectives, and integrated workflows (e.g., threat intel feeds directly inform detection priorities).</t>
        </is>
      </c>
      <c r="C209" s="65" t="inlineStr">
        <is>
          <t>Joint planning sessions; shared objectives; integrated workflows.</t>
        </is>
      </c>
    </row>
    <row r="210" ht="42" customHeight="1">
      <c r="A210" s="66" t="inlineStr">
        <is>
          <t>5 — Optimized</t>
        </is>
      </c>
      <c r="B210" s="67" t="inlineStr">
        <is>
          <t>Seamless cross-functional collaboration. Detection engineering is embedded in security operations with automated information sharing.</t>
        </is>
      </c>
      <c r="C210" s="67" t="inlineStr">
        <is>
          <t>Fully integrated operations; automated information sharing; shared metrics.</t>
        </is>
      </c>
    </row>
  </sheetData>
  <mergeCells count="41">
    <mergeCell ref="A90:C90"/>
    <mergeCell ref="A80:C80"/>
    <mergeCell ref="A89:C89"/>
    <mergeCell ref="A56:C56"/>
    <mergeCell ref="A3:C3"/>
    <mergeCell ref="A204:C204"/>
    <mergeCell ref="A160:C160"/>
    <mergeCell ref="A116:C116"/>
    <mergeCell ref="A5:C5"/>
    <mergeCell ref="A188:C188"/>
    <mergeCell ref="A14:C14"/>
    <mergeCell ref="A141:C141"/>
    <mergeCell ref="A159:C159"/>
    <mergeCell ref="A22:C22"/>
    <mergeCell ref="A150:C150"/>
    <mergeCell ref="A106:C106"/>
    <mergeCell ref="A140:C140"/>
    <mergeCell ref="A4:C4"/>
    <mergeCell ref="A38:C38"/>
    <mergeCell ref="A72:C72"/>
    <mergeCell ref="A115:C115"/>
    <mergeCell ref="A161:C161"/>
    <mergeCell ref="A170:C170"/>
    <mergeCell ref="A40:C40"/>
    <mergeCell ref="A30:C30"/>
    <mergeCell ref="A39:C39"/>
    <mergeCell ref="A114:C114"/>
    <mergeCell ref="A186:C186"/>
    <mergeCell ref="A48:C48"/>
    <mergeCell ref="A64:C64"/>
    <mergeCell ref="A98:C98"/>
    <mergeCell ref="A142:C142"/>
    <mergeCell ref="A1:C1"/>
    <mergeCell ref="A132:C132"/>
    <mergeCell ref="A178:C178"/>
    <mergeCell ref="A6:C6"/>
    <mergeCell ref="A88:C88"/>
    <mergeCell ref="A124:C124"/>
    <mergeCell ref="A162:C162"/>
    <mergeCell ref="A196:C196"/>
    <mergeCell ref="A187:C187"/>
  </mergeCells>
  <pageMargins left="0.75" right="0.75" top="1" bottom="1" header="0.5" footer="0.5"/>
</worksheet>
</file>

<file path=xl/worksheets/sheet7.xml><?xml version="1.0" encoding="utf-8"?>
<worksheet xmlns="http://schemas.openxmlformats.org/spreadsheetml/2006/main">
  <sheetPr>
    <tabColor rgb="002D3E50"/>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22" customWidth="1" min="3" max="3"/>
    <col width="34" customWidth="1" min="4" max="4"/>
    <col width="12" customWidth="1" min="5" max="5"/>
    <col width="16" customWidth="1" min="6" max="6"/>
    <col width="16" customWidth="1" min="7" max="7"/>
  </cols>
  <sheetData>
    <row r="1">
      <c r="A1" s="69" t="inlineStr">
        <is>
          <t>SUMMARY</t>
        </is>
      </c>
      <c r="B1" s="69" t="n"/>
    </row>
    <row r="2">
      <c r="A2" s="70" t="inlineStr">
        <is>
          <t>Organization</t>
        </is>
      </c>
      <c r="B2" s="49">
        <f>Assessment!D4</f>
        <v/>
      </c>
    </row>
    <row r="3">
      <c r="A3" s="70" t="inlineStr">
        <is>
          <t>Assessor</t>
        </is>
      </c>
      <c r="B3" s="49">
        <f>Assessment!D5</f>
        <v/>
      </c>
    </row>
    <row r="4">
      <c r="A4" s="70" t="inlineStr">
        <is>
          <t>Date</t>
        </is>
      </c>
      <c r="B4" s="49">
        <f>Assessment!D7</f>
        <v/>
      </c>
    </row>
    <row r="5">
      <c r="A5" s="70" t="inlineStr">
        <is>
          <t>Assessment Type</t>
        </is>
      </c>
      <c r="B5" s="49">
        <f>Assessment!D8</f>
        <v/>
      </c>
    </row>
    <row r="6">
      <c r="A6" s="70" t="inlineStr">
        <is>
          <t>Overall Score</t>
        </is>
      </c>
      <c r="B6" s="71">
        <f>IF(COUNT(D18,D19,D20,D21,D22,D23,D24,D25,D26,D27,D28,D29,D30,D31,D32,D33,D34,D35,D36,D37,D38,D39,D40,D41)=0,"",ROUND(AVERAGE(D18,D19,D20,D21,D22,D23,D24,D25,D26,D27,D28,D29,D30,D31,D32,D33,D34,D35,D36,D37,D38,D39,D40,D41),2))</f>
        <v/>
      </c>
    </row>
    <row r="7">
      <c r="A7" s="70" t="inlineStr">
        <is>
          <t>Achieved Tier</t>
        </is>
      </c>
      <c r="B7" s="49">
        <f>IF(AND(AND(ISNUMBER(D18),D18&gt;=3,ISNUMBER(D19),D19&gt;=3,ISNUMBER(D20),D20&gt;=3,ISNUMBER(D21),D21&gt;=3),AND(ISNUMBER(D22),D22&gt;=3,ISNUMBER(D23),D23&gt;=3,ISNUMBER(D24),D24&gt;=3,ISNUMBER(D25),D25&gt;=3,ISNUMBER(D26),D26&gt;=3,ISNUMBER(D27),D27&gt;=3),AND(ISNUMBER(D28),D28&gt;=3,ISNUMBER(D29),D29&gt;=3,ISNUMBER(D30),D30&gt;=3),AND(ISNUMBER(D31),D31&gt;=3,ISNUMBER(D32),D32&gt;=3,ISNUMBER(D33),D33&gt;=3),AND(ISNUMBER(D34),D34&gt;=3,ISNUMBER(D35),D35&gt;=3)),"Tier 4: Expert",IF(AND(AND(ISNUMBER(D18),D18&gt;=3,ISNUMBER(D19),D19&gt;=3,ISNUMBER(D20),D20&gt;=3,ISNUMBER(D21),D21&gt;=3),AND(ISNUMBER(D22),D22&gt;=3,ISNUMBER(D23),D23&gt;=3,ISNUMBER(D24),D24&gt;=3,ISNUMBER(D25),D25&gt;=3,ISNUMBER(D26),D26&gt;=3,ISNUMBER(D27),D27&gt;=3),AND(ISNUMBER(D28),D28&gt;=3,ISNUMBER(D29),D29&gt;=3,ISNUMBER(D30),D30&gt;=3),AND(ISNUMBER(D31),D31&gt;=3,ISNUMBER(D32),D32&gt;=3,ISNUMBER(D33),D33&gt;=3)),"Tier 3: Advanced",IF(AND(AND(ISNUMBER(D18),D18&gt;=3,ISNUMBER(D19),D19&gt;=3,ISNUMBER(D20),D20&gt;=3,ISNUMBER(D21),D21&gt;=3),AND(ISNUMBER(D22),D22&gt;=3,ISNUMBER(D23),D23&gt;=3,ISNUMBER(D24),D24&gt;=3,ISNUMBER(D25),D25&gt;=3,ISNUMBER(D26),D26&gt;=3,ISNUMBER(D27),D27&gt;=3),AND(ISNUMBER(D28),D28&gt;=3,ISNUMBER(D29),D29&gt;=3,ISNUMBER(D30),D30&gt;=3)),"Tier 2: Intermediate",IF(AND(AND(ISNUMBER(D18),D18&gt;=3,ISNUMBER(D19),D19&gt;=3,ISNUMBER(D20),D20&gt;=3,ISNUMBER(D21),D21&gt;=3),AND(ISNUMBER(D22),D22&gt;=3,ISNUMBER(D23),D23&gt;=3,ISNUMBER(D24),D24&gt;=3,ISNUMBER(D25),D25&gt;=3,ISNUMBER(D26),D26&gt;=3,ISNUMBER(D27),D27&gt;=3)),"Tier 1: Basic",IF(AND(AND(ISNUMBER(D18),D18&gt;=3,ISNUMBER(D19),D19&gt;=3,ISNUMBER(D20),D20&gt;=3,ISNUMBER(D21),D21&gt;=3)),"Tier 0: Foundation","Below Foundation")))))</f>
        <v/>
      </c>
    </row>
    <row r="8">
      <c r="A8" s="70" t="inlineStr">
        <is>
          <t>Completion</t>
        </is>
      </c>
      <c r="B8" s="49">
        <f>COUNTA(Assessment!E15,Assessment!E16,Assessment!E17,Assessment!E18,Assessment!E19,Assessment!E20,Assessment!E21,Assessment!E24,Assessment!E25,Assessment!E26,Assessment!E27,Assessment!E28,Assessment!E29,Assessment!E30,Assessment!E31,Assessment!E32,Assessment!E35,Assessment!E36,Assessment!E37,Assessment!E38,Assessment!E39,Assessment!E40,Assessment!E43,Assessment!E44,Assessment!E45,Assessment!E46,Assessment!E47,Assessment!E50,Assessment!E51,Assessment!E52,Assessment!E53,Assessment!E54,Assessment!E61,Assessment!E62,Assessment!E63,Assessment!E64,Assessment!E65,Assessment!E68,Assessment!E69,Assessment!E70,Assessment!E71)&amp;" / 41"</f>
        <v/>
      </c>
    </row>
    <row r="10">
      <c r="A10" s="72" t="inlineStr">
        <is>
          <t>Tier</t>
        </is>
      </c>
      <c r="B10" s="72" t="inlineStr">
        <is>
          <t>Tier Name</t>
        </is>
      </c>
      <c r="C10" s="72" t="inlineStr">
        <is>
          <t>Score</t>
        </is>
      </c>
      <c r="D10" s="72" t="inlineStr">
        <is>
          <t>Level</t>
        </is>
      </c>
      <c r="E10" s="72" t="inlineStr">
        <is>
          <t>Status</t>
        </is>
      </c>
      <c r="F10" s="72" t="inlineStr">
        <is>
          <t>Progression</t>
        </is>
      </c>
    </row>
    <row r="11">
      <c r="A11" s="73" t="inlineStr">
        <is>
          <t>T0</t>
        </is>
      </c>
      <c r="B11" s="74" t="inlineStr">
        <is>
          <t>Foundation</t>
        </is>
      </c>
      <c r="C11" s="55">
        <f>IF(COUNT(Assessment!F15,Assessment!F16,Assessment!F17,Assessment!F18,Assessment!F19,Assessment!F20,Assessment!F21)=0,"",AVERAGE(Assessment!F15,Assessment!F16,Assessment!F17,Assessment!F18,Assessment!F19,Assessment!F20,Assessment!F21))</f>
        <v/>
      </c>
      <c r="D11" s="75">
        <f>IF(C11="","",IF(C11&gt;=4.5,"Optimized",IF(C11&gt;=3.5,"Managed",IF(C11&gt;=2.5,"Defined",IF(C11&gt;=1.5,"Repeatable","Initial")))))</f>
        <v/>
      </c>
      <c r="E11" s="75">
        <f>IF(C11="","",IF(C11&gt;=3,"✓ Pass","✗ Below Target"))</f>
        <v/>
      </c>
      <c r="F11" s="73">
        <f>IF(C11="","Not Started",IF(AND(AND(ISNUMBER(D18),D18&gt;=3,ISNUMBER(D19),D19&gt;=3,ISNUMBER(D20),D20&gt;=3,ISNUMBER(D21),D21&gt;=3)),"Complete",IF(TRUE,"Current","In Progress")))</f>
        <v/>
      </c>
    </row>
    <row r="12">
      <c r="A12" s="73" t="inlineStr">
        <is>
          <t>T1</t>
        </is>
      </c>
      <c r="B12" s="74" t="inlineStr">
        <is>
          <t>Basic</t>
        </is>
      </c>
      <c r="C12" s="55">
        <f>IF(COUNT(Assessment!F24,Assessment!F25,Assessment!F26,Assessment!F27,Assessment!F28,Assessment!F29,Assessment!F30,Assessment!F31,Assessment!F32)=0,"",AVERAGE(Assessment!F24,Assessment!F25,Assessment!F26,Assessment!F27,Assessment!F28,Assessment!F29,Assessment!F30,Assessment!F31,Assessment!F32))</f>
        <v/>
      </c>
      <c r="D12" s="75">
        <f>IF(C12="","",IF(C12&gt;=4.5,"Optimized",IF(C12&gt;=3.5,"Managed",IF(C12&gt;=2.5,"Defined",IF(C12&gt;=1.5,"Repeatable","Initial")))))</f>
        <v/>
      </c>
      <c r="E12" s="75">
        <f>IF(C12="","",IF(C12&gt;=3,"✓ Pass","✗ Below Target"))</f>
        <v/>
      </c>
      <c r="F12" s="73">
        <f>IF(C12="","Not Started",IF(AND(AND(ISNUMBER(D18),D18&gt;=3,ISNUMBER(D19),D19&gt;=3,ISNUMBER(D20),D20&gt;=3,ISNUMBER(D21),D21&gt;=3),AND(ISNUMBER(D22),D22&gt;=3,ISNUMBER(D23),D23&gt;=3,ISNUMBER(D24),D24&gt;=3,ISNUMBER(D25),D25&gt;=3,ISNUMBER(D26),D26&gt;=3,ISNUMBER(D27),D27&gt;=3)),"Complete",IF(AND(AND(ISNUMBER(D18),D18&gt;=3,ISNUMBER(D19),D19&gt;=3,ISNUMBER(D20),D20&gt;=3,ISNUMBER(D21),D21&gt;=3)),"Current","In Progress")))</f>
        <v/>
      </c>
    </row>
    <row r="13">
      <c r="A13" s="73" t="inlineStr">
        <is>
          <t>T2</t>
        </is>
      </c>
      <c r="B13" s="74" t="inlineStr">
        <is>
          <t>Intermediate</t>
        </is>
      </c>
      <c r="C13" s="55">
        <f>IF(COUNT(Assessment!F35,Assessment!F36,Assessment!F37,Assessment!F38,Assessment!F39,Assessment!F40)=0,"",AVERAGE(Assessment!F35,Assessment!F36,Assessment!F37,Assessment!F38,Assessment!F39,Assessment!F40))</f>
        <v/>
      </c>
      <c r="D13" s="75">
        <f>IF(C13="","",IF(C13&gt;=4.5,"Optimized",IF(C13&gt;=3.5,"Managed",IF(C13&gt;=2.5,"Defined",IF(C13&gt;=1.5,"Repeatable","Initial")))))</f>
        <v/>
      </c>
      <c r="E13" s="75">
        <f>IF(C13="","",IF(C13&gt;=3,"✓ Pass","✗ Below Target"))</f>
        <v/>
      </c>
      <c r="F13" s="73">
        <f>IF(C13="","Not Started",IF(AND(AND(ISNUMBER(D18),D18&gt;=3,ISNUMBER(D19),D19&gt;=3,ISNUMBER(D20),D20&gt;=3,ISNUMBER(D21),D21&gt;=3),AND(ISNUMBER(D22),D22&gt;=3,ISNUMBER(D23),D23&gt;=3,ISNUMBER(D24),D24&gt;=3,ISNUMBER(D25),D25&gt;=3,ISNUMBER(D26),D26&gt;=3,ISNUMBER(D27),D27&gt;=3),AND(ISNUMBER(D28),D28&gt;=3,ISNUMBER(D29),D29&gt;=3,ISNUMBER(D30),D30&gt;=3)),"Complete",IF(AND(AND(ISNUMBER(D18),D18&gt;=3,ISNUMBER(D19),D19&gt;=3,ISNUMBER(D20),D20&gt;=3,ISNUMBER(D21),D21&gt;=3),AND(ISNUMBER(D22),D22&gt;=3,ISNUMBER(D23),D23&gt;=3,ISNUMBER(D24),D24&gt;=3,ISNUMBER(D25),D25&gt;=3,ISNUMBER(D26),D26&gt;=3,ISNUMBER(D27),D27&gt;=3)),"Current","In Progress")))</f>
        <v/>
      </c>
    </row>
    <row r="14">
      <c r="A14" s="73" t="inlineStr">
        <is>
          <t>T3</t>
        </is>
      </c>
      <c r="B14" s="74" t="inlineStr">
        <is>
          <t>Advanced</t>
        </is>
      </c>
      <c r="C14" s="55">
        <f>IF(COUNT(Assessment!F43,Assessment!F44,Assessment!F45,Assessment!F46,Assessment!F47)=0,"",AVERAGE(Assessment!F43,Assessment!F44,Assessment!F45,Assessment!F46,Assessment!F47))</f>
        <v/>
      </c>
      <c r="D14" s="75">
        <f>IF(C14="","",IF(C14&gt;=4.5,"Optimized",IF(C14&gt;=3.5,"Managed",IF(C14&gt;=2.5,"Defined",IF(C14&gt;=1.5,"Repeatable","Initial")))))</f>
        <v/>
      </c>
      <c r="E14" s="75">
        <f>IF(C14="","",IF(C14&gt;=3,"✓ Pass","✗ Below Target"))</f>
        <v/>
      </c>
      <c r="F14" s="73">
        <f>IF(C14="","Not Started",IF(AND(AND(ISNUMBER(D18),D18&gt;=3,ISNUMBER(D19),D19&gt;=3,ISNUMBER(D20),D20&gt;=3,ISNUMBER(D21),D21&gt;=3),AND(ISNUMBER(D22),D22&gt;=3,ISNUMBER(D23),D23&gt;=3,ISNUMBER(D24),D24&gt;=3,ISNUMBER(D25),D25&gt;=3,ISNUMBER(D26),D26&gt;=3,ISNUMBER(D27),D27&gt;=3),AND(ISNUMBER(D28),D28&gt;=3,ISNUMBER(D29),D29&gt;=3,ISNUMBER(D30),D30&gt;=3),AND(ISNUMBER(D31),D31&gt;=3,ISNUMBER(D32),D32&gt;=3,ISNUMBER(D33),D33&gt;=3)),"Complete",IF(AND(AND(ISNUMBER(D18),D18&gt;=3,ISNUMBER(D19),D19&gt;=3,ISNUMBER(D20),D20&gt;=3,ISNUMBER(D21),D21&gt;=3),AND(ISNUMBER(D22),D22&gt;=3,ISNUMBER(D23),D23&gt;=3,ISNUMBER(D24),D24&gt;=3,ISNUMBER(D25),D25&gt;=3,ISNUMBER(D26),D26&gt;=3,ISNUMBER(D27),D27&gt;=3),AND(ISNUMBER(D28),D28&gt;=3,ISNUMBER(D29),D29&gt;=3,ISNUMBER(D30),D30&gt;=3)),"Current","In Progress")))</f>
        <v/>
      </c>
    </row>
    <row r="15">
      <c r="A15" s="73" t="inlineStr">
        <is>
          <t>T4</t>
        </is>
      </c>
      <c r="B15" s="74" t="inlineStr">
        <is>
          <t>Expert</t>
        </is>
      </c>
      <c r="C15" s="55">
        <f>IF(COUNT(Assessment!F50,Assessment!F51,Assessment!F52,Assessment!F53,Assessment!F54)=0,"",AVERAGE(Assessment!F50,Assessment!F51,Assessment!F52,Assessment!F53,Assessment!F54))</f>
        <v/>
      </c>
      <c r="D15" s="75">
        <f>IF(C15="","",IF(C15&gt;=4.5,"Optimized",IF(C15&gt;=3.5,"Managed",IF(C15&gt;=2.5,"Defined",IF(C15&gt;=1.5,"Repeatable","Initial")))))</f>
        <v/>
      </c>
      <c r="E15" s="75">
        <f>IF(C15="","",IF(C15&gt;=3,"✓ Pass","✗ Below Target"))</f>
        <v/>
      </c>
      <c r="F15" s="73">
        <f>IF(C15="","Not Started",IF(AND(AND(ISNUMBER(D18),D18&gt;=3,ISNUMBER(D19),D19&gt;=3,ISNUMBER(D20),D20&gt;=3,ISNUMBER(D21),D21&gt;=3),AND(ISNUMBER(D22),D22&gt;=3,ISNUMBER(D23),D23&gt;=3,ISNUMBER(D24),D24&gt;=3,ISNUMBER(D25),D25&gt;=3,ISNUMBER(D26),D26&gt;=3,ISNUMBER(D27),D27&gt;=3),AND(ISNUMBER(D28),D28&gt;=3,ISNUMBER(D29),D29&gt;=3,ISNUMBER(D30),D30&gt;=3),AND(ISNUMBER(D31),D31&gt;=3,ISNUMBER(D32),D32&gt;=3,ISNUMBER(D33),D33&gt;=3),AND(ISNUMBER(D34),D34&gt;=3,ISNUMBER(D35),D35&gt;=3)),"Complete",IF(AND(AND(ISNUMBER(D18),D18&gt;=3,ISNUMBER(D19),D19&gt;=3,ISNUMBER(D20),D20&gt;=3,ISNUMBER(D21),D21&gt;=3),AND(ISNUMBER(D22),D22&gt;=3,ISNUMBER(D23),D23&gt;=3,ISNUMBER(D24),D24&gt;=3,ISNUMBER(D25),D25&gt;=3,ISNUMBER(D26),D26&gt;=3,ISNUMBER(D27),D27&gt;=3),AND(ISNUMBER(D28),D28&gt;=3,ISNUMBER(D29),D29&gt;=3,ISNUMBER(D30),D30&gt;=3),AND(ISNUMBER(D31),D31&gt;=3,ISNUMBER(D32),D32&gt;=3,ISNUMBER(D33),D33&gt;=3)),"Current","In Progress")))</f>
        <v/>
      </c>
    </row>
    <row r="17">
      <c r="A17" s="14" t="inlineStr">
        <is>
          <t>Section</t>
        </is>
      </c>
      <c r="B17" s="14" t="inlineStr">
        <is>
          <t>Category</t>
        </is>
      </c>
      <c r="C17" s="14" t="inlineStr">
        <is>
          <t>Criterion</t>
        </is>
      </c>
      <c r="D17" s="14" t="inlineStr">
        <is>
          <t>Score</t>
        </is>
      </c>
      <c r="E17" s="14" t="inlineStr">
        <is>
          <t>Level</t>
        </is>
      </c>
      <c r="F17" s="14" t="inlineStr">
        <is>
          <t>Status</t>
        </is>
      </c>
    </row>
    <row r="18">
      <c r="A18" s="49" t="inlineStr">
        <is>
          <t>DEBMM Core</t>
        </is>
      </c>
      <c r="B18" s="49" t="inlineStr">
        <is>
          <t>Foundation</t>
        </is>
      </c>
      <c r="C18" s="70" t="inlineStr">
        <is>
          <t>Structured Rule Development Approach</t>
        </is>
      </c>
      <c r="D18" s="50">
        <f>IF(COUNT(Assessment!F15,Assessment!F16)=0,"",AVERAGE(Assessment!F15,Assessment!F16))</f>
        <v/>
      </c>
      <c r="E18" s="51">
        <f>IF(D18="","",IF(D18&gt;=4.5,"Optimized",IF(D18&gt;=3.5,"Managed",IF(D18&gt;=2.5,"Defined",IF(D18&gt;=1.5,"Repeatable","Initial")))))</f>
        <v/>
      </c>
      <c r="F18" s="51">
        <f>IF(D18="","",IF(D18&gt;=3,"✓ Pass","✗ Below Target"))</f>
        <v/>
      </c>
    </row>
    <row r="19">
      <c r="A19" s="49" t="inlineStr">
        <is>
          <t>DEBMM Core</t>
        </is>
      </c>
      <c r="B19" s="49" t="inlineStr">
        <is>
          <t>Foundation</t>
        </is>
      </c>
      <c r="C19" s="70" t="inlineStr">
        <is>
          <t>Rule Creation and Maintenance</t>
        </is>
      </c>
      <c r="D19" s="50">
        <f>IF(COUNT(Assessment!F17)=0,"",AVERAGE(Assessment!F17))</f>
        <v/>
      </c>
      <c r="E19" s="51">
        <f>IF(D19="","",IF(D19&gt;=4.5,"Optimized",IF(D19&gt;=3.5,"Managed",IF(D19&gt;=2.5,"Defined",IF(D19&gt;=1.5,"Repeatable","Initial")))))</f>
        <v/>
      </c>
      <c r="F19" s="51">
        <f>IF(D19="","",IF(D19&gt;=3,"✓ Pass","✗ Below Target"))</f>
        <v/>
      </c>
    </row>
    <row r="20">
      <c r="A20" s="49" t="inlineStr">
        <is>
          <t>DEBMM Core</t>
        </is>
      </c>
      <c r="B20" s="49" t="inlineStr">
        <is>
          <t>Foundation</t>
        </is>
      </c>
      <c r="C20" s="70" t="inlineStr">
        <is>
          <t>Roadmap Documentation</t>
        </is>
      </c>
      <c r="D20" s="50">
        <f>IF(COUNT(Assessment!F18)=0,"",AVERAGE(Assessment!F18))</f>
        <v/>
      </c>
      <c r="E20" s="51">
        <f>IF(D20="","",IF(D20&gt;=4.5,"Optimized",IF(D20&gt;=3.5,"Managed",IF(D20&gt;=2.5,"Defined",IF(D20&gt;=1.5,"Repeatable","Initial")))))</f>
        <v/>
      </c>
      <c r="F20" s="51">
        <f>IF(D20="","",IF(D20&gt;=3,"✓ Pass","✗ Below Target"))</f>
        <v/>
      </c>
    </row>
    <row r="21">
      <c r="A21" s="49" t="inlineStr">
        <is>
          <t>DEBMM Core</t>
        </is>
      </c>
      <c r="B21" s="49" t="inlineStr">
        <is>
          <t>Foundation</t>
        </is>
      </c>
      <c r="C21" s="70" t="inlineStr">
        <is>
          <t>Threat Modeling</t>
        </is>
      </c>
      <c r="D21" s="50">
        <f>IF(COUNT(Assessment!F19,Assessment!F20,Assessment!F21)=0,"",AVERAGE(Assessment!F19,Assessment!F20,Assessment!F21))</f>
        <v/>
      </c>
      <c r="E21" s="51">
        <f>IF(D21="","",IF(D21&gt;=4.5,"Optimized",IF(D21&gt;=3.5,"Managed",IF(D21&gt;=2.5,"Defined",IF(D21&gt;=1.5,"Repeatable","Initial")))))</f>
        <v/>
      </c>
      <c r="F21" s="51">
        <f>IF(D21="","",IF(D21&gt;=3,"✓ Pass","✗ Below Target"))</f>
        <v/>
      </c>
    </row>
    <row r="22">
      <c r="A22" s="49" t="inlineStr">
        <is>
          <t>DEBMM Core</t>
        </is>
      </c>
      <c r="B22" s="49" t="inlineStr">
        <is>
          <t>Basic</t>
        </is>
      </c>
      <c r="C22" s="70" t="inlineStr">
        <is>
          <t>Baseline Rule Creation</t>
        </is>
      </c>
      <c r="D22" s="50">
        <f>IF(COUNT(Assessment!F24,Assessment!F25)=0,"",AVERAGE(Assessment!F24,Assessment!F25))</f>
        <v/>
      </c>
      <c r="E22" s="51">
        <f>IF(D22="","",IF(D22&gt;=4.5,"Optimized",IF(D22&gt;=3.5,"Managed",IF(D22&gt;=2.5,"Defined",IF(D22&gt;=1.5,"Repeatable","Initial")))))</f>
        <v/>
      </c>
      <c r="F22" s="51">
        <f>IF(D22="","",IF(D22&gt;=3,"✓ Pass","✗ Below Target"))</f>
        <v/>
      </c>
    </row>
    <row r="23">
      <c r="A23" s="49" t="inlineStr">
        <is>
          <t>DEBMM Core</t>
        </is>
      </c>
      <c r="B23" s="49" t="inlineStr">
        <is>
          <t>Basic</t>
        </is>
      </c>
      <c r="C23" s="70" t="inlineStr">
        <is>
          <t>Ruleset Management and Maintenance</t>
        </is>
      </c>
      <c r="D23" s="50">
        <f>IF(COUNT(Assessment!F26)=0,"",AVERAGE(Assessment!F26))</f>
        <v/>
      </c>
      <c r="E23" s="51">
        <f>IF(D23="","",IF(D23&gt;=4.5,"Optimized",IF(D23&gt;=3.5,"Managed",IF(D23&gt;=2.5,"Defined",IF(D23&gt;=1.5,"Repeatable","Initial")))))</f>
        <v/>
      </c>
      <c r="F23" s="51">
        <f>IF(D23="","",IF(D23&gt;=3,"✓ Pass","✗ Below Target"))</f>
        <v/>
      </c>
    </row>
    <row r="24">
      <c r="A24" s="49" t="inlineStr">
        <is>
          <t>DEBMM Core</t>
        </is>
      </c>
      <c r="B24" s="49" t="inlineStr">
        <is>
          <t>Basic</t>
        </is>
      </c>
      <c r="C24" s="70" t="inlineStr">
        <is>
          <t>Telemetry Quality</t>
        </is>
      </c>
      <c r="D24" s="50">
        <f>IF(COUNT(Assessment!F27,Assessment!F28,Assessment!F29)=0,"",AVERAGE(Assessment!F27,Assessment!F28,Assessment!F29))</f>
        <v/>
      </c>
      <c r="E24" s="51">
        <f>IF(D24="","",IF(D24&gt;=4.5,"Optimized",IF(D24&gt;=3.5,"Managed",IF(D24&gt;=2.5,"Defined",IF(D24&gt;=1.5,"Repeatable","Initial")))))</f>
        <v/>
      </c>
      <c r="F24" s="51">
        <f>IF(D24="","",IF(D24&gt;=3,"✓ Pass","✗ Below Target"))</f>
        <v/>
      </c>
    </row>
    <row r="25">
      <c r="A25" s="49" t="inlineStr">
        <is>
          <t>DEBMM Core</t>
        </is>
      </c>
      <c r="B25" s="49" t="inlineStr">
        <is>
          <t>Basic</t>
        </is>
      </c>
      <c r="C25" s="70" t="inlineStr">
        <is>
          <t>Threat Landscape Review</t>
        </is>
      </c>
      <c r="D25" s="50">
        <f>IF(COUNT(Assessment!F30)=0,"",AVERAGE(Assessment!F30))</f>
        <v/>
      </c>
      <c r="E25" s="51">
        <f>IF(D25="","",IF(D25&gt;=4.5,"Optimized",IF(D25&gt;=3.5,"Managed",IF(D25&gt;=2.5,"Defined",IF(D25&gt;=1.5,"Repeatable","Initial")))))</f>
        <v/>
      </c>
      <c r="F25" s="51">
        <f>IF(D25="","",IF(D25&gt;=3,"✓ Pass","✗ Below Target"))</f>
        <v/>
      </c>
    </row>
    <row r="26">
      <c r="A26" s="49" t="inlineStr">
        <is>
          <t>DEBMM Core</t>
        </is>
      </c>
      <c r="B26" s="49" t="inlineStr">
        <is>
          <t>Basic</t>
        </is>
      </c>
      <c r="C26" s="70" t="inlineStr">
        <is>
          <t>Product Owner Engagement</t>
        </is>
      </c>
      <c r="D26" s="50">
        <f>IF(COUNT(Assessment!F31)=0,"",AVERAGE(Assessment!F31))</f>
        <v/>
      </c>
      <c r="E26" s="51">
        <f>IF(D26="","",IF(D26&gt;=4.5,"Optimized",IF(D26&gt;=3.5,"Managed",IF(D26&gt;=2.5,"Defined",IF(D26&gt;=1.5,"Repeatable","Initial")))))</f>
        <v/>
      </c>
      <c r="F26" s="51">
        <f>IF(D26="","",IF(D26&gt;=3,"✓ Pass","✗ Below Target"))</f>
        <v/>
      </c>
    </row>
    <row r="27">
      <c r="A27" s="49" t="inlineStr">
        <is>
          <t>DEBMM Core</t>
        </is>
      </c>
      <c r="B27" s="49" t="inlineStr">
        <is>
          <t>Basic</t>
        </is>
      </c>
      <c r="C27" s="70" t="inlineStr">
        <is>
          <t>Release Testing and Validation</t>
        </is>
      </c>
      <c r="D27" s="50">
        <f>IF(COUNT(Assessment!F32)=0,"",AVERAGE(Assessment!F32))</f>
        <v/>
      </c>
      <c r="E27" s="51">
        <f>IF(D27="","",IF(D27&gt;=4.5,"Optimized",IF(D27&gt;=3.5,"Managed",IF(D27&gt;=2.5,"Defined",IF(D27&gt;=1.5,"Repeatable","Initial")))))</f>
        <v/>
      </c>
      <c r="F27" s="51">
        <f>IF(D27="","",IF(D27&gt;=3,"✓ Pass","✗ Below Target"))</f>
        <v/>
      </c>
    </row>
    <row r="28">
      <c r="A28" s="49" t="inlineStr">
        <is>
          <t>DEBMM Core</t>
        </is>
      </c>
      <c r="B28" s="49" t="inlineStr">
        <is>
          <t>Intermediate</t>
        </is>
      </c>
      <c r="C28" s="70" t="inlineStr">
        <is>
          <t>False Positive Tuning and Reduction</t>
        </is>
      </c>
      <c r="D28" s="50">
        <f>IF(COUNT(Assessment!F35,Assessment!F36)=0,"",AVERAGE(Assessment!F35,Assessment!F36))</f>
        <v/>
      </c>
      <c r="E28" s="51">
        <f>IF(D28="","",IF(D28&gt;=4.5,"Optimized",IF(D28&gt;=3.5,"Managed",IF(D28&gt;=2.5,"Defined",IF(D28&gt;=1.5,"Repeatable","Initial")))))</f>
        <v/>
      </c>
      <c r="F28" s="51">
        <f>IF(D28="","",IF(D28&gt;=3,"✓ Pass","✗ Below Target"))</f>
        <v/>
      </c>
    </row>
    <row r="29">
      <c r="A29" s="49" t="inlineStr">
        <is>
          <t>DEBMM Core</t>
        </is>
      </c>
      <c r="B29" s="49" t="inlineStr">
        <is>
          <t>Intermediate</t>
        </is>
      </c>
      <c r="C29" s="70" t="inlineStr">
        <is>
          <t>Gap Analysis and Documentation</t>
        </is>
      </c>
      <c r="D29" s="50">
        <f>IF(COUNT(Assessment!F37,Assessment!F38,Assessment!F39)=0,"",AVERAGE(Assessment!F37,Assessment!F38,Assessment!F39))</f>
        <v/>
      </c>
      <c r="E29" s="51">
        <f>IF(D29="","",IF(D29&gt;=4.5,"Optimized",IF(D29&gt;=3.5,"Managed",IF(D29&gt;=2.5,"Defined",IF(D29&gt;=1.5,"Repeatable","Initial")))))</f>
        <v/>
      </c>
      <c r="F29" s="51">
        <f>IF(D29="","",IF(D29&gt;=3,"✓ Pass","✗ Below Target"))</f>
        <v/>
      </c>
    </row>
    <row r="30">
      <c r="A30" s="49" t="inlineStr">
        <is>
          <t>DEBMM Core</t>
        </is>
      </c>
      <c r="B30" s="49" t="inlineStr">
        <is>
          <t>Intermediate</t>
        </is>
      </c>
      <c r="C30" s="70" t="inlineStr">
        <is>
          <t>Internal Testing and Validation</t>
        </is>
      </c>
      <c r="D30" s="50">
        <f>IF(COUNT(Assessment!F40)=0,"",AVERAGE(Assessment!F40))</f>
        <v/>
      </c>
      <c r="E30" s="51">
        <f>IF(D30="","",IF(D30&gt;=4.5,"Optimized",IF(D30&gt;=3.5,"Managed",IF(D30&gt;=2.5,"Defined",IF(D30&gt;=1.5,"Repeatable","Initial")))))</f>
        <v/>
      </c>
      <c r="F30" s="51">
        <f>IF(D30="","",IF(D30&gt;=3,"✓ Pass","✗ Below Target"))</f>
        <v/>
      </c>
    </row>
    <row r="31">
      <c r="A31" s="49" t="inlineStr">
        <is>
          <t>DEBMM Core</t>
        </is>
      </c>
      <c r="B31" s="49" t="inlineStr">
        <is>
          <t>Advanced</t>
        </is>
      </c>
      <c r="C31" s="70" t="inlineStr">
        <is>
          <t>False Negative Triage</t>
        </is>
      </c>
      <c r="D31" s="50">
        <f>IF(COUNT(Assessment!F43,Assessment!F44)=0,"",AVERAGE(Assessment!F43,Assessment!F44))</f>
        <v/>
      </c>
      <c r="E31" s="51">
        <f>IF(D31="","",IF(D31&gt;=4.5,"Optimized",IF(D31&gt;=3.5,"Managed",IF(D31&gt;=2.5,"Defined",IF(D31&gt;=1.5,"Repeatable","Initial")))))</f>
        <v/>
      </c>
      <c r="F31" s="51">
        <f>IF(D31="","",IF(D31&gt;=3,"✓ Pass","✗ Below Target"))</f>
        <v/>
      </c>
    </row>
    <row r="32">
      <c r="A32" s="49" t="inlineStr">
        <is>
          <t>DEBMM Core</t>
        </is>
      </c>
      <c r="B32" s="49" t="inlineStr">
        <is>
          <t>Advanced</t>
        </is>
      </c>
      <c r="C32" s="70" t="inlineStr">
        <is>
          <t>External Validation</t>
        </is>
      </c>
      <c r="D32" s="50">
        <f>IF(COUNT(Assessment!F45)=0,"",AVERAGE(Assessment!F45))</f>
        <v/>
      </c>
      <c r="E32" s="51">
        <f>IF(D32="","",IF(D32&gt;=4.5,"Optimized",IF(D32&gt;=3.5,"Managed",IF(D32&gt;=2.5,"Defined",IF(D32&gt;=1.5,"Repeatable","Initial")))))</f>
        <v/>
      </c>
      <c r="F32" s="51">
        <f>IF(D32="","",IF(D32&gt;=3,"✓ Pass","✗ Below Target"))</f>
        <v/>
      </c>
    </row>
    <row r="33">
      <c r="A33" s="49" t="inlineStr">
        <is>
          <t>DEBMM Core</t>
        </is>
      </c>
      <c r="B33" s="49" t="inlineStr">
        <is>
          <t>Advanced</t>
        </is>
      </c>
      <c r="C33" s="70" t="inlineStr">
        <is>
          <t>Advanced TTP Coverage</t>
        </is>
      </c>
      <c r="D33" s="50">
        <f>IF(COUNT(Assessment!F46,Assessment!F47)=0,"",AVERAGE(Assessment!F46,Assessment!F47))</f>
        <v/>
      </c>
      <c r="E33" s="51">
        <f>IF(D33="","",IF(D33&gt;=4.5,"Optimized",IF(D33&gt;=3.5,"Managed",IF(D33&gt;=2.5,"Defined",IF(D33&gt;=1.5,"Repeatable","Initial")))))</f>
        <v/>
      </c>
      <c r="F33" s="51">
        <f>IF(D33="","",IF(D33&gt;=3,"✓ Pass","✗ Below Target"))</f>
        <v/>
      </c>
    </row>
    <row r="34">
      <c r="A34" s="49" t="inlineStr">
        <is>
          <t>DEBMM Core</t>
        </is>
      </c>
      <c r="B34" s="49" t="inlineStr">
        <is>
          <t>Expert</t>
        </is>
      </c>
      <c r="C34" s="70" t="inlineStr">
        <is>
          <t>Threat Hunting in Telemetry</t>
        </is>
      </c>
      <c r="D34" s="50">
        <f>IF(COUNT(Assessment!F50,Assessment!F51,Assessment!F52)=0,"",AVERAGE(Assessment!F50,Assessment!F51,Assessment!F52))</f>
        <v/>
      </c>
      <c r="E34" s="51">
        <f>IF(D34="","",IF(D34&gt;=4.5,"Optimized",IF(D34&gt;=3.5,"Managed",IF(D34&gt;=2.5,"Defined",IF(D34&gt;=1.5,"Repeatable","Initial")))))</f>
        <v/>
      </c>
      <c r="F34" s="51">
        <f>IF(D34="","",IF(D34&gt;=3,"✓ Pass","✗ Below Target"))</f>
        <v/>
      </c>
    </row>
    <row r="35">
      <c r="A35" s="49" t="inlineStr">
        <is>
          <t>DEBMM Core</t>
        </is>
      </c>
      <c r="B35" s="49" t="inlineStr">
        <is>
          <t>Expert</t>
        </is>
      </c>
      <c r="C35" s="70" t="inlineStr">
        <is>
          <t>Automation and Continuous Improvement</t>
        </is>
      </c>
      <c r="D35" s="50">
        <f>IF(COUNT(Assessment!F53,Assessment!F54)=0,"",AVERAGE(Assessment!F53,Assessment!F54))</f>
        <v/>
      </c>
      <c r="E35" s="51">
        <f>IF(D35="","",IF(D35&gt;=4.5,"Optimized",IF(D35&gt;=3.5,"Managed",IF(D35&gt;=2.5,"Defined",IF(D35&gt;=1.5,"Repeatable","Initial")))))</f>
        <v/>
      </c>
      <c r="F35" s="51">
        <f>IF(D35="","",IF(D35&gt;=3,"✓ Pass","✗ Below Target"))</f>
        <v/>
      </c>
    </row>
    <row r="36">
      <c r="A36" s="49" t="inlineStr">
        <is>
          <t>Enrichment</t>
        </is>
      </c>
      <c r="B36" s="49" t="inlineStr">
        <is>
          <t>People &amp; Organization</t>
        </is>
      </c>
      <c r="C36" s="70" t="inlineStr">
        <is>
          <t>Team Structure and Dedicated Roles</t>
        </is>
      </c>
      <c r="D36" s="50">
        <f>IF(COUNT(Assessment!F61)=0,"",AVERAGE(Assessment!F61))</f>
        <v/>
      </c>
      <c r="E36" s="51">
        <f>IF(D36="","",IF(D36&gt;=4.5,"Optimized",IF(D36&gt;=3.5,"Managed",IF(D36&gt;=2.5,"Defined",IF(D36&gt;=1.5,"Repeatable","Initial")))))</f>
        <v/>
      </c>
      <c r="F36" s="51">
        <f>IF(D36="","",IF(D36&gt;=3,"✓ Pass","✗ Below Target"))</f>
        <v/>
      </c>
    </row>
    <row r="37">
      <c r="A37" s="49" t="inlineStr">
        <is>
          <t>Enrichment</t>
        </is>
      </c>
      <c r="B37" s="49" t="inlineStr">
        <is>
          <t>People &amp; Organization</t>
        </is>
      </c>
      <c r="C37" s="70" t="inlineStr">
        <is>
          <t>Skills Development and Training</t>
        </is>
      </c>
      <c r="D37" s="50">
        <f>IF(COUNT(Assessment!F62)=0,"",AVERAGE(Assessment!F62))</f>
        <v/>
      </c>
      <c r="E37" s="51">
        <f>IF(D37="","",IF(D37&gt;=4.5,"Optimized",IF(D37&gt;=3.5,"Managed",IF(D37&gt;=2.5,"Defined",IF(D37&gt;=1.5,"Repeatable","Initial")))))</f>
        <v/>
      </c>
      <c r="F37" s="51">
        <f>IF(D37="","",IF(D37&gt;=3,"✓ Pass","✗ Below Target"))</f>
        <v/>
      </c>
    </row>
    <row r="38">
      <c r="A38" s="49" t="inlineStr">
        <is>
          <t>Enrichment</t>
        </is>
      </c>
      <c r="B38" s="49" t="inlineStr">
        <is>
          <t>People &amp; Organization</t>
        </is>
      </c>
      <c r="C38" s="70" t="inlineStr">
        <is>
          <t>Leadership Commitment and Executive Sponsorship</t>
        </is>
      </c>
      <c r="D38" s="50">
        <f>IF(COUNT(Assessment!F63,Assessment!F64,Assessment!F65)=0,"",AVERAGE(Assessment!F63,Assessment!F64,Assessment!F65))</f>
        <v/>
      </c>
      <c r="E38" s="51">
        <f>IF(D38="","",IF(D38&gt;=4.5,"Optimized",IF(D38&gt;=3.5,"Managed",IF(D38&gt;=2.5,"Defined",IF(D38&gt;=1.5,"Repeatable","Initial")))))</f>
        <v/>
      </c>
      <c r="F38" s="51">
        <f>IF(D38="","",IF(D38&gt;=3,"✓ Pass","✗ Below Target"))</f>
        <v/>
      </c>
    </row>
    <row r="39">
      <c r="A39" s="49" t="inlineStr">
        <is>
          <t>Enrichment</t>
        </is>
      </c>
      <c r="B39" s="49" t="inlineStr">
        <is>
          <t>Process &amp; Governance</t>
        </is>
      </c>
      <c r="C39" s="70" t="inlineStr">
        <is>
          <t>Detection Lifecycle Workflow</t>
        </is>
      </c>
      <c r="D39" s="50">
        <f>IF(COUNT(Assessment!F68)=0,"",AVERAGE(Assessment!F68))</f>
        <v/>
      </c>
      <c r="E39" s="51">
        <f>IF(D39="","",IF(D39&gt;=4.5,"Optimized",IF(D39&gt;=3.5,"Managed",IF(D39&gt;=2.5,"Defined",IF(D39&gt;=1.5,"Repeatable","Initial")))))</f>
        <v/>
      </c>
      <c r="F39" s="51">
        <f>IF(D39="","",IF(D39&gt;=3,"✓ Pass","✗ Below Target"))</f>
        <v/>
      </c>
    </row>
    <row r="40">
      <c r="A40" s="49" t="inlineStr">
        <is>
          <t>Enrichment</t>
        </is>
      </c>
      <c r="B40" s="49" t="inlineStr">
        <is>
          <t>Process &amp; Governance</t>
        </is>
      </c>
      <c r="C40" s="70" t="inlineStr">
        <is>
          <t>Metrics and KPI Tracking</t>
        </is>
      </c>
      <c r="D40" s="50">
        <f>IF(COUNT(Assessment!F69,Assessment!F70)=0,"",AVERAGE(Assessment!F69,Assessment!F70))</f>
        <v/>
      </c>
      <c r="E40" s="51">
        <f>IF(D40="","",IF(D40&gt;=4.5,"Optimized",IF(D40&gt;=3.5,"Managed",IF(D40&gt;=2.5,"Defined",IF(D40&gt;=1.5,"Repeatable","Initial")))))</f>
        <v/>
      </c>
      <c r="F40" s="51">
        <f>IF(D40="","",IF(D40&gt;=3,"✓ Pass","✗ Below Target"))</f>
        <v/>
      </c>
    </row>
    <row r="41">
      <c r="A41" s="49" t="inlineStr">
        <is>
          <t>Enrichment</t>
        </is>
      </c>
      <c r="B41" s="49" t="inlineStr">
        <is>
          <t>Process &amp; Governance</t>
        </is>
      </c>
      <c r="C41" s="70" t="inlineStr">
        <is>
          <t>Cross-Team Collaboration</t>
        </is>
      </c>
      <c r="D41" s="50">
        <f>IF(COUNT(Assessment!F71)=0,"",AVERAGE(Assessment!F71))</f>
        <v/>
      </c>
      <c r="E41" s="51">
        <f>IF(D41="","",IF(D41&gt;=4.5,"Optimized",IF(D41&gt;=3.5,"Managed",IF(D41&gt;=2.5,"Defined",IF(D41&gt;=1.5,"Repeatable","Initial")))))</f>
        <v/>
      </c>
      <c r="F41" s="51">
        <f>IF(D41="","",IF(D41&gt;=3,"✓ Pass","✗ Below Target"))</f>
        <v/>
      </c>
    </row>
  </sheetData>
  <conditionalFormatting sqref="F11:F15">
    <cfRule type="cellIs" priority="1" operator="equal" dxfId="3">
      <formula>"Complete"</formula>
    </cfRule>
    <cfRule type="cellIs" priority="2" operator="equal" dxfId="2">
      <formula>"Current"</formula>
    </cfRule>
    <cfRule type="cellIs" priority="3" operator="equal" dxfId="1">
      <formula>"In Progress"</formula>
    </cfRule>
  </conditionalFormatting>
  <conditionalFormatting sqref="C11:C15">
    <cfRule type="cellIs" priority="4" operator="between" dxfId="0">
      <formula>1</formula>
      <formula>1.49</formula>
    </cfRule>
    <cfRule type="cellIs" priority="5" operator="between" dxfId="1">
      <formula>1.5</formula>
      <formula>2.49</formula>
    </cfRule>
    <cfRule type="cellIs" priority="6" operator="between" dxfId="2">
      <formula>2.5</formula>
      <formula>3.49</formula>
    </cfRule>
    <cfRule type="cellIs" priority="7" operator="between" dxfId="3">
      <formula>3.5</formula>
      <formula>5</formula>
    </cfRule>
  </conditionalFormatting>
  <conditionalFormatting sqref="D18:D41">
    <cfRule type="cellIs" priority="8" operator="between" dxfId="0">
      <formula>1</formula>
      <formula>1.49</formula>
    </cfRule>
    <cfRule type="cellIs" priority="9" operator="between" dxfId="1">
      <formula>1.5</formula>
      <formula>2.49</formula>
    </cfRule>
    <cfRule type="cellIs" priority="10" operator="between" dxfId="2">
      <formula>2.5</formula>
      <formula>3.49</formula>
    </cfRule>
    <cfRule type="cellIs" priority="11" operator="between" dxfId="3">
      <formula>3.5</formula>
      <formula>5</formula>
    </cfRule>
  </conditionalFormatting>
  <conditionalFormatting sqref="F18:F41">
    <cfRule type="cellIs" priority="12" operator="equal" dxfId="3">
      <formula>"✓ Pass"</formula>
    </cfRule>
    <cfRule type="cellIs" priority="13" operator="equal" dxfId="0">
      <formula>"✗ Below Target"</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2026-02-27T02:26:31Z</dcterms:created>
  <dcterms:modified xsi:type="dcterms:W3CDTF">2026-02-27T02:26:31Z</dcterms:modified>
</cp:coreProperties>
</file>