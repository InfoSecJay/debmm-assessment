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essment" sheetId="2" state="visible" r:id="rId2"/>
    <sheet xmlns:r="http://schemas.openxmlformats.org/officeDocument/2006/relationships" name="Results Dashboard" sheetId="3" state="visible" r:id="rId3"/>
    <sheet xmlns:r="http://schemas.openxmlformats.org/officeDocument/2006/relationships" name="Tier Scores Chart" sheetId="4" state="visible" r:id="rId4"/>
    <sheet xmlns:r="http://schemas.openxmlformats.org/officeDocument/2006/relationships" name="Readiness Chart"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165" fontId="4"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DEBMM Tier Scores</a:t>
            </a:r>
          </a:p>
        </rich>
      </tx>
    </title>
    <plotArea>
      <barChart>
        <barDir val="col"/>
        <grouping val="clustered"/>
        <ser>
          <idx val="0"/>
          <order val="0"/>
          <tx>
            <strRef>
              <f>'Tier Scores Chart'!C4</f>
            </strRef>
          </tx>
          <spPr>
            <a:ln xmlns:a="http://schemas.openxmlformats.org/drawingml/2006/main">
              <a:prstDash val="solid"/>
            </a:ln>
          </spPr>
          <dPt>
            <idx val="0"/>
            <spPr>
              <a:solidFill xmlns:a="http://schemas.openxmlformats.org/drawingml/2006/main">
                <a:srgbClr val="3B82F6"/>
              </a:solidFill>
              <a:ln xmlns:a="http://schemas.openxmlformats.org/drawingml/2006/main">
                <a:prstDash val="solid"/>
              </a:ln>
            </spPr>
          </dPt>
          <dPt>
            <idx val="1"/>
            <spPr>
              <a:solidFill xmlns:a="http://schemas.openxmlformats.org/drawingml/2006/main">
                <a:srgbClr val="3B82F6"/>
              </a:solidFill>
              <a:ln xmlns:a="http://schemas.openxmlformats.org/drawingml/2006/main">
                <a:prstDash val="solid"/>
              </a:ln>
            </spPr>
          </dPt>
          <dPt>
            <idx val="2"/>
            <spPr>
              <a:solidFill xmlns:a="http://schemas.openxmlformats.org/drawingml/2006/main">
                <a:srgbClr val="3B82F6"/>
              </a:solidFill>
              <a:ln xmlns:a="http://schemas.openxmlformats.org/drawingml/2006/main">
                <a:prstDash val="solid"/>
              </a:ln>
            </spPr>
          </dPt>
          <dPt>
            <idx val="3"/>
            <spPr>
              <a:solidFill xmlns:a="http://schemas.openxmlformats.org/drawingml/2006/main">
                <a:srgbClr val="3B82F6"/>
              </a:solidFill>
              <a:ln xmlns:a="http://schemas.openxmlformats.org/drawingml/2006/main">
                <a:prstDash val="solid"/>
              </a:ln>
            </spPr>
          </dPt>
          <dPt>
            <idx val="4"/>
            <spPr>
              <a:solidFill xmlns:a="http://schemas.openxmlformats.org/drawingml/2006/main">
                <a:srgbClr val="3B82F6"/>
              </a:solidFill>
              <a:ln xmlns:a="http://schemas.openxmlformats.org/drawingml/2006/mai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Organizational Readiness</a:t>
            </a:r>
          </a:p>
        </rich>
      </tx>
    </title>
    <plotArea>
      <barChart>
        <barDir val="col"/>
        <grouping val="clustered"/>
        <ser>
          <idx val="0"/>
          <order val="0"/>
          <tx>
            <strRef>
              <f>'Readiness Chart'!C4</f>
            </strRef>
          </tx>
          <spPr>
            <a:ln xmlns:a="http://schemas.openxmlformats.org/drawingml/2006/main">
              <a:prstDash val="solid"/>
            </a:ln>
          </spPr>
          <dPt>
            <idx val="0"/>
            <spPr>
              <a:solidFill xmlns:a="http://schemas.openxmlformats.org/drawingml/2006/main">
                <a:srgbClr val="0D7377"/>
              </a:solidFill>
              <a:ln xmlns:a="http://schemas.openxmlformats.org/drawingml/2006/main">
                <a:prstDash val="solid"/>
              </a:ln>
            </spPr>
          </dPt>
          <dPt>
            <idx val="1"/>
            <spPr>
              <a:solidFill xmlns:a="http://schemas.openxmlformats.org/drawingml/2006/main">
                <a:srgbClr val="0D7377"/>
              </a:solidFill>
              <a:ln xmlns:a="http://schemas.openxmlformats.org/drawingml/2006/mai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7</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24 criteria across 7 categories, with 46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PowerPoint Reports — Run scorer/extract_data.py then scorer/generate_report.js for an exec-ready deck</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6"/>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10" ht="32" customHeight="1">
      <c r="B10" s="5" t="inlineStr">
        <is>
          <t>DEBMM CORE ASSESSMENT — Tiers 0—4</t>
        </is>
      </c>
      <c r="C10" s="6" t="n"/>
      <c r="D10" s="6" t="n"/>
      <c r="E10" s="6" t="n"/>
      <c r="F10" s="6" t="n"/>
      <c r="G10" s="6" t="n"/>
    </row>
    <row r="11" ht="22" customHeight="1">
      <c r="B11" s="13" t="inlineStr">
        <is>
          <t>Rate your team across the 5 progressive DEBMM tiers. Your achieved tier is the highest where all criteria score ≥ 3.0.</t>
        </is>
      </c>
      <c r="C11" s="6" t="n"/>
      <c r="D11" s="6" t="n"/>
      <c r="E11" s="6" t="n"/>
      <c r="F11" s="6" t="n"/>
      <c r="G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c r="G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deployment to production?</t>
        </is>
      </c>
      <c r="E16" s="19" t="n"/>
      <c r="F16" s="25">
        <f>IF(E16="Yes",4,IF(E16="No",1,""))</f>
        <v/>
      </c>
      <c r="G16" s="21" t="n"/>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your threat modeling use a recognized framework (e.g., STRIDE, MITRE ATT&amp;CK, PASTA, attack trees)?</t>
        </is>
      </c>
      <c r="E20" s="19" t="n"/>
      <c r="F20" s="25">
        <f>IF(E20="Yes",3,IF(E20="No",1,""))</f>
        <v/>
      </c>
      <c r="G20" s="21" t="n"/>
    </row>
    <row r="21" ht="35" customHeight="1">
      <c r="B21" s="16" t="inlineStr">
        <is>
          <t>T0-Q7</t>
        </is>
      </c>
      <c r="C21" s="27" t="inlineStr">
        <is>
          <t>Threat Modeling</t>
        </is>
      </c>
      <c r="D21" s="18" t="inlineStr">
        <is>
          <t>Do threat modeling outputs directly generate items on your detection engineering backlog or roadmap?</t>
        </is>
      </c>
      <c r="E21" s="19" t="n"/>
      <c r="F21" s="20">
        <f>IF(E21="Yes",4,IF(E21="No",1,""))</f>
        <v/>
      </c>
      <c r="G21" s="21" t="n"/>
    </row>
    <row r="22" ht="35" customHeight="1">
      <c r="B22" s="22" t="inlineStr">
        <is>
          <t>T0-Q8</t>
        </is>
      </c>
      <c r="C22" s="23" t="inlineStr">
        <is>
          <t>Threat Modeling</t>
        </is>
      </c>
      <c r="D22" s="24" t="inlineStr">
        <is>
          <t>Does your team maintain a documented inventory of critical assets (endpoints, servers, cloud workloads, identities) mapped to detection coverage?</t>
        </is>
      </c>
      <c r="E22" s="19" t="n"/>
      <c r="F22" s="25">
        <f>IF(E22="Yes",3,IF(E22="No",1,""))</f>
        <v/>
      </c>
      <c r="G22" s="21" t="n"/>
    </row>
    <row r="23" ht="34" customHeight="1">
      <c r="B23" s="15" t="inlineStr">
        <is>
          <t xml:space="preserve">  TIER 1: BASIC</t>
        </is>
      </c>
      <c r="C23" s="4" t="n"/>
      <c r="D23" s="4" t="n"/>
      <c r="E23" s="4" t="n"/>
      <c r="F23" s="4" t="n"/>
      <c r="G23" s="4" t="n"/>
    </row>
    <row r="24" ht="20" customHeight="1">
      <c r="B24" s="13" t="inlineStr">
        <is>
          <t>Establishes baseline detection capabilities with systematic management, version control, and initial alignment with the threat landscape.</t>
        </is>
      </c>
      <c r="C24" s="6" t="n"/>
      <c r="D24" s="6" t="n"/>
      <c r="E24" s="6" t="n"/>
      <c r="F24" s="6" t="n"/>
      <c r="G24" s="6" t="n"/>
    </row>
    <row r="25" ht="115" customHeight="1">
      <c r="B25" s="16" t="inlineStr">
        <is>
          <t>T1-Q1</t>
        </is>
      </c>
      <c r="C25" s="17" t="inlineStr">
        <is>
          <t>Baseline Rule Creation</t>
        </is>
      </c>
      <c r="D25"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5" s="19" t="n"/>
      <c r="F25" s="20">
        <f>IF(E25="","",E25)</f>
        <v/>
      </c>
      <c r="G25" s="21" t="n"/>
    </row>
    <row r="26" ht="115" customHeight="1">
      <c r="B26" s="22" t="inlineStr">
        <is>
          <t>T1-Q2</t>
        </is>
      </c>
      <c r="C26" s="23" t="inlineStr">
        <is>
          <t>Baseline Rule Creation</t>
        </is>
      </c>
      <c r="D26" s="24"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6" s="19" t="n"/>
      <c r="F26" s="25">
        <f>IF(E26="","",E26)</f>
        <v/>
      </c>
      <c r="G26" s="21" t="n"/>
    </row>
    <row r="27" ht="115" customHeight="1">
      <c r="B27" s="16" t="inlineStr">
        <is>
          <t>T1-Q3</t>
        </is>
      </c>
      <c r="C27" s="17" t="inlineStr">
        <is>
          <t>Ruleset Management and Maintenance</t>
        </is>
      </c>
      <c r="D27"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7" s="19" t="n"/>
      <c r="F27" s="20">
        <f>IF(E27="","",E27)</f>
        <v/>
      </c>
      <c r="G27" s="21" t="n"/>
    </row>
    <row r="28" ht="115" customHeight="1">
      <c r="B28" s="22" t="inlineStr">
        <is>
          <t>T1-Q4</t>
        </is>
      </c>
      <c r="C28" s="26" t="inlineStr">
        <is>
          <t>Telemetry Quality</t>
        </is>
      </c>
      <c r="D28" s="24"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8" s="19" t="n"/>
      <c r="F28" s="25">
        <f>IF(E28="","",E28)</f>
        <v/>
      </c>
      <c r="G28" s="21" t="n"/>
    </row>
    <row r="29" ht="35" customHeight="1">
      <c r="B29" s="16" t="inlineStr">
        <is>
          <t>T1-Q5</t>
        </is>
      </c>
      <c r="C29" s="27" t="inlineStr">
        <is>
          <t>Telemetry Quality</t>
        </is>
      </c>
      <c r="D29" s="18" t="inlineStr">
        <is>
          <t>Do you maintain a documented inventory of telemetry data sources mapped to detection use cases?</t>
        </is>
      </c>
      <c r="E29" s="19" t="n"/>
      <c r="F29" s="20">
        <f>IF(E29="Yes",3,IF(E29="No",1,""))</f>
        <v/>
      </c>
      <c r="G29" s="21" t="n"/>
    </row>
    <row r="30" ht="35" customHeight="1">
      <c r="B30" s="22" t="inlineStr">
        <is>
          <t>T1-Q6</t>
        </is>
      </c>
      <c r="C30" s="23" t="inlineStr">
        <is>
          <t>Telemetry Quality</t>
        </is>
      </c>
      <c r="D30" s="24" t="inlineStr">
        <is>
          <t>Do you have automated alerting for when critical data sources stop ingesting or degrade in quality?</t>
        </is>
      </c>
      <c r="E30" s="19" t="n"/>
      <c r="F30" s="25">
        <f>IF(E30="Yes",4,IF(E30="No",1,""))</f>
        <v/>
      </c>
      <c r="G30" s="21" t="n"/>
    </row>
    <row r="31" ht="115" customHeight="1">
      <c r="B31" s="16" t="inlineStr">
        <is>
          <t>T1-Q7</t>
        </is>
      </c>
      <c r="C31" s="17" t="inlineStr">
        <is>
          <t>Threat Landscape Review</t>
        </is>
      </c>
      <c r="D31"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1" s="19" t="n"/>
      <c r="F31" s="20">
        <f>IF(E31="","",E31)</f>
        <v/>
      </c>
      <c r="G31" s="21" t="n"/>
    </row>
    <row r="32" ht="115" customHeight="1">
      <c r="B32" s="22" t="inlineStr">
        <is>
          <t>T1-Q8</t>
        </is>
      </c>
      <c r="C32" s="26" t="inlineStr">
        <is>
          <t>Product Owner Engagement</t>
        </is>
      </c>
      <c r="D32" s="24"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2" s="19" t="n"/>
      <c r="F32" s="25">
        <f>IF(E32="","",E32)</f>
        <v/>
      </c>
      <c r="G32" s="21" t="n"/>
    </row>
    <row r="33" ht="115" customHeight="1">
      <c r="B33" s="16" t="inlineStr">
        <is>
          <t>T1-Q9</t>
        </is>
      </c>
      <c r="C33" s="17" t="inlineStr">
        <is>
          <t>Release Testing and Validation</t>
        </is>
      </c>
      <c r="D33"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3" s="19" t="n"/>
      <c r="F33" s="20">
        <f>IF(E33="","",E33)</f>
        <v/>
      </c>
      <c r="G33" s="21" t="n"/>
    </row>
    <row r="34" ht="34" customHeight="1">
      <c r="B34" s="15" t="inlineStr">
        <is>
          <t xml:space="preserve">  TIER 2: INTERMEDIATE</t>
        </is>
      </c>
      <c r="C34" s="4" t="n"/>
      <c r="D34" s="4" t="n"/>
      <c r="E34" s="4" t="n"/>
      <c r="F34" s="4" t="n"/>
      <c r="G34" s="4" t="n"/>
    </row>
    <row r="35" ht="20" customHeight="1">
      <c r="B35" s="13" t="inlineStr">
        <is>
          <t>Focuses on improving detection quality through tuning, gap analysis, and systematic internal validation.</t>
        </is>
      </c>
      <c r="C35" s="6" t="n"/>
      <c r="D35" s="6" t="n"/>
      <c r="E35" s="6" t="n"/>
      <c r="F35" s="6" t="n"/>
      <c r="G35" s="6" t="n"/>
    </row>
    <row r="36" ht="115" customHeight="1">
      <c r="B36" s="16" t="inlineStr">
        <is>
          <t>T2-Q1</t>
        </is>
      </c>
      <c r="C36" s="17" t="inlineStr">
        <is>
          <t>False Positive Tuning and Reduction</t>
        </is>
      </c>
      <c r="D36"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6" s="19" t="n"/>
      <c r="F36" s="20">
        <f>IF(E36="","",E36)</f>
        <v/>
      </c>
      <c r="G36" s="21" t="n"/>
    </row>
    <row r="37" ht="115" customHeight="1">
      <c r="B37" s="22" t="inlineStr">
        <is>
          <t>T2-Q2</t>
        </is>
      </c>
      <c r="C37" s="23" t="inlineStr">
        <is>
          <t>False Positive Tuning and Reduction</t>
        </is>
      </c>
      <c r="D37" s="24"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7" s="19" t="n"/>
      <c r="F37" s="25">
        <f>IF(E37="","",E37)</f>
        <v/>
      </c>
      <c r="G37" s="21" t="n"/>
    </row>
    <row r="38" ht="115" customHeight="1">
      <c r="B38" s="16" t="inlineStr">
        <is>
          <t>T2-Q3</t>
        </is>
      </c>
      <c r="C38" s="17" t="inlineStr">
        <is>
          <t>Gap Analysis and Documentation</t>
        </is>
      </c>
      <c r="D38"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8" s="19" t="n"/>
      <c r="F38" s="20">
        <f>IF(E38="","",E38)</f>
        <v/>
      </c>
      <c r="G38" s="21" t="n"/>
    </row>
    <row r="39" ht="35" customHeight="1">
      <c r="B39" s="22" t="inlineStr">
        <is>
          <t>T2-Q4</t>
        </is>
      </c>
      <c r="C39" s="23" t="inlineStr">
        <is>
          <t>Gap Analysis and Documentation</t>
        </is>
      </c>
      <c r="D39" s="24" t="inlineStr">
        <is>
          <t>Do you maintain a documented, prioritized list of detection coverage gaps that is updated at least quarterly?</t>
        </is>
      </c>
      <c r="E39" s="19" t="n"/>
      <c r="F39" s="25">
        <f>IF(E39="Yes",3,IF(E39="No",1,""))</f>
        <v/>
      </c>
      <c r="G39" s="21" t="n"/>
    </row>
    <row r="40" ht="35" customHeight="1">
      <c r="B40" s="16" t="inlineStr">
        <is>
          <t>T2-Q5</t>
        </is>
      </c>
      <c r="C40" s="27" t="inlineStr">
        <is>
          <t>Gap Analysis and Documentation</t>
        </is>
      </c>
      <c r="D40" s="18" t="inlineStr">
        <is>
          <t>Are detection coverage gaps formally communicated to stakeholders (leadership, IR, threat intel) at least quarterly?</t>
        </is>
      </c>
      <c r="E40" s="19" t="n"/>
      <c r="F40" s="20">
        <f>IF(E40="Yes",4,IF(E40="No",1,""))</f>
        <v/>
      </c>
      <c r="G40" s="21" t="n"/>
    </row>
    <row r="41" ht="35" customHeight="1">
      <c r="B41" s="22" t="inlineStr">
        <is>
          <t>T2-Q7</t>
        </is>
      </c>
      <c r="C41" s="23" t="inlineStr">
        <is>
          <t>Gap Analysis and Documentation</t>
        </is>
      </c>
      <c r="D41" s="24" t="inlineStr">
        <is>
          <t>Does your team maintain a formal detection coverage map that links critical assets and priority threat actors to specific detection rules?</t>
        </is>
      </c>
      <c r="E41" s="19" t="n"/>
      <c r="F41" s="25">
        <f>IF(E41="Yes",4,IF(E41="No",1,""))</f>
        <v/>
      </c>
      <c r="G41" s="21" t="n"/>
    </row>
    <row r="42" ht="115" customHeight="1">
      <c r="B42" s="16" t="inlineStr">
        <is>
          <t>T2-Q6</t>
        </is>
      </c>
      <c r="C42" s="17" t="inlineStr">
        <is>
          <t>Internal Testing and Validation</t>
        </is>
      </c>
      <c r="D42" s="18"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2" s="19" t="n"/>
      <c r="F42" s="20">
        <f>IF(E42="","",E42)</f>
        <v/>
      </c>
      <c r="G42" s="21" t="n"/>
    </row>
    <row r="43" ht="34" customHeight="1">
      <c r="B43" s="15" t="inlineStr">
        <is>
          <t xml:space="preserve">  TIER 3: ADVANCED</t>
        </is>
      </c>
      <c r="C43" s="4" t="n"/>
      <c r="D43" s="4" t="n"/>
      <c r="E43" s="4" t="n"/>
      <c r="F43" s="4" t="n"/>
      <c r="G43" s="4" t="n"/>
    </row>
    <row r="44" ht="20" customHeight="1">
      <c r="B44" s="13" t="inlineStr">
        <is>
          <t>Addresses false negatives, external validation, and advanced threat coverage to ensure detections catch real attacks.</t>
        </is>
      </c>
      <c r="C44" s="6" t="n"/>
      <c r="D44" s="6" t="n"/>
      <c r="E44" s="6" t="n"/>
      <c r="F44" s="6" t="n"/>
      <c r="G44" s="6" t="n"/>
    </row>
    <row r="45" ht="115" customHeight="1">
      <c r="B45" s="16" t="inlineStr">
        <is>
          <t>T3-Q1</t>
        </is>
      </c>
      <c r="C45" s="17" t="inlineStr">
        <is>
          <t>False Negative Triage</t>
        </is>
      </c>
      <c r="D45"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5" s="19" t="n"/>
      <c r="F45" s="20">
        <f>IF(E45="","",E45)</f>
        <v/>
      </c>
      <c r="G45" s="21" t="n"/>
    </row>
    <row r="46" ht="115" customHeight="1">
      <c r="B46" s="22" t="inlineStr">
        <is>
          <t>T3-Q2</t>
        </is>
      </c>
      <c r="C46" s="23" t="inlineStr">
        <is>
          <t>False Negative Triage</t>
        </is>
      </c>
      <c r="D46" s="24"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6" s="19" t="n"/>
      <c r="F46" s="25">
        <f>IF(E46="","",E46)</f>
        <v/>
      </c>
      <c r="G46" s="21" t="n"/>
    </row>
    <row r="47" ht="115" customHeight="1">
      <c r="B47" s="16" t="inlineStr">
        <is>
          <t>T3-Q3</t>
        </is>
      </c>
      <c r="C47" s="17" t="inlineStr">
        <is>
          <t>External Validation</t>
        </is>
      </c>
      <c r="D47"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7" s="19" t="n"/>
      <c r="F47" s="20">
        <f>IF(E47="","",E47)</f>
        <v/>
      </c>
      <c r="G47" s="21" t="n"/>
    </row>
    <row r="48" ht="115" customHeight="1">
      <c r="B48" s="22" t="inlineStr">
        <is>
          <t>T3-Q4</t>
        </is>
      </c>
      <c r="C48" s="26" t="inlineStr">
        <is>
          <t>Advanced TTP Coverage</t>
        </is>
      </c>
      <c r="D48" s="24"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8" s="19" t="n"/>
      <c r="F48" s="25">
        <f>IF(E48="","",E48)</f>
        <v/>
      </c>
      <c r="G48" s="21" t="n"/>
    </row>
    <row r="49" ht="115" customHeight="1">
      <c r="B49" s="16" t="inlineStr">
        <is>
          <t>T3-Q5</t>
        </is>
      </c>
      <c r="C49" s="27" t="inlineStr">
        <is>
          <t>Advanced TTP Coverage</t>
        </is>
      </c>
      <c r="D49"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9" s="19" t="n"/>
      <c r="F49" s="20">
        <f>IF(E49="","",E49)</f>
        <v/>
      </c>
      <c r="G49" s="21" t="n"/>
    </row>
    <row r="50" ht="34" customHeight="1">
      <c r="B50" s="15" t="inlineStr">
        <is>
          <t xml:space="preserve">  TIER 4: EXPERT</t>
        </is>
      </c>
      <c r="C50" s="4" t="n"/>
      <c r="D50" s="4" t="n"/>
      <c r="E50" s="4" t="n"/>
      <c r="F50" s="4" t="n"/>
      <c r="G50" s="4" t="n"/>
    </row>
    <row r="51" ht="20" customHeight="1">
      <c r="B51" s="13" t="inlineStr">
        <is>
          <t>Features proactive threat hunting, advanced automation, AI/LLM integration, and continuous improvement across the detection lifecycle.</t>
        </is>
      </c>
      <c r="C51" s="6" t="n"/>
      <c r="D51" s="6" t="n"/>
      <c r="E51" s="6" t="n"/>
      <c r="F51" s="6" t="n"/>
      <c r="G51" s="6" t="n"/>
    </row>
    <row r="52" ht="115" customHeight="1">
      <c r="B52" s="16" t="inlineStr">
        <is>
          <t>T4-Q1</t>
        </is>
      </c>
      <c r="C52" s="17" t="inlineStr">
        <is>
          <t>Threat Hunting in Telemetry</t>
        </is>
      </c>
      <c r="D52"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2" s="19" t="n"/>
      <c r="F52" s="20">
        <f>IF(E52="","",E52)</f>
        <v/>
      </c>
      <c r="G52" s="21" t="n"/>
    </row>
    <row r="53" ht="35" customHeight="1">
      <c r="B53" s="22" t="inlineStr">
        <is>
          <t>T4-Q2</t>
        </is>
      </c>
      <c r="C53" s="23" t="inlineStr">
        <is>
          <t>Threat Hunting in Telemetry</t>
        </is>
      </c>
      <c r="D53" s="24" t="inlineStr">
        <is>
          <t>Are your threat hunts driven by documented hypotheses (from intel, incidents, or gap analysis) rather than ad hoc exploration?</t>
        </is>
      </c>
      <c r="E53" s="19" t="n"/>
      <c r="F53" s="25">
        <f>IF(E53="Yes",4,IF(E53="No",1,""))</f>
        <v/>
      </c>
      <c r="G53" s="21" t="n"/>
    </row>
    <row r="54" ht="35" customHeight="1">
      <c r="B54" s="16" t="inlineStr">
        <is>
          <t>T4-Q3</t>
        </is>
      </c>
      <c r="C54" s="27" t="inlineStr">
        <is>
          <t>Threat Hunting in Telemetry</t>
        </is>
      </c>
      <c r="D54" s="18" t="inlineStr">
        <is>
          <t>Is there a defined process to convert threat hunting findings into production detection rules?</t>
        </is>
      </c>
      <c r="E54" s="19" t="n"/>
      <c r="F54" s="20">
        <f>IF(E54="Yes",4,IF(E54="No",1,""))</f>
        <v/>
      </c>
      <c r="G54" s="21" t="n"/>
    </row>
    <row r="55" ht="115" customHeight="1">
      <c r="B55" s="22" t="inlineStr">
        <is>
          <t>T4-Q4</t>
        </is>
      </c>
      <c r="C55" s="26" t="inlineStr">
        <is>
          <t>Automation and Continuous Improvement</t>
        </is>
      </c>
      <c r="D55" s="24"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5" s="19" t="n"/>
      <c r="F55" s="25">
        <f>IF(E55="","",E55)</f>
        <v/>
      </c>
      <c r="G55" s="21" t="n"/>
    </row>
    <row r="56" ht="115" customHeight="1">
      <c r="B56" s="16" t="inlineStr">
        <is>
          <t>T4-Q5</t>
        </is>
      </c>
      <c r="C56" s="27" t="inlineStr">
        <is>
          <t>Automation and Continuous Improvement</t>
        </is>
      </c>
      <c r="D56"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6" s="19" t="n"/>
      <c r="F56" s="20">
        <f>IF(E56="","",E56)</f>
        <v/>
      </c>
      <c r="G56" s="21" t="n"/>
    </row>
    <row r="57" ht="35" customHeight="1">
      <c r="B57" s="22" t="inlineStr">
        <is>
          <t>T4-Q6</t>
        </is>
      </c>
      <c r="C57" s="23" t="inlineStr">
        <is>
          <t>Automation and Continuous Improvement</t>
        </is>
      </c>
      <c r="D57" s="24" t="inlineStr">
        <is>
          <t>Does your team conduct regular retrospectives on detection failures (missed detections, late detections, false negatives) to improve the detection process?</t>
        </is>
      </c>
      <c r="E57" s="19" t="n"/>
      <c r="F57" s="25">
        <f>IF(E57="Yes",3,IF(E57="No",1,""))</f>
        <v/>
      </c>
      <c r="G57" s="21" t="n"/>
    </row>
    <row r="58" ht="20" customHeight="1">
      <c r="A58" s="28" t="n"/>
      <c r="B58" s="28" t="n"/>
      <c r="C58" s="28" t="n"/>
      <c r="D58" s="28" t="n"/>
      <c r="E58" s="28" t="n"/>
      <c r="F58" s="28" t="n"/>
      <c r="G58" s="28" t="n"/>
      <c r="H58" s="28" t="n"/>
    </row>
    <row r="59" ht="32" customHeight="1">
      <c r="B59" s="29" t="inlineStr">
        <is>
          <t>SUPPLEMENTARY DIMENSIONS — Organizational Readiness</t>
        </is>
      </c>
      <c r="C59" s="30" t="n"/>
      <c r="D59" s="30" t="n"/>
      <c r="E59" s="30" t="n"/>
      <c r="F59" s="30" t="n"/>
      <c r="G59" s="30" t="n"/>
    </row>
    <row r="60" ht="22" customHeight="1">
      <c r="B60" s="31" t="inlineStr">
        <is>
          <t>These dimensions from detectionengineering.io assess people and process factors. They contribute to the overall score but do not affect DEBMM tier determination.</t>
        </is>
      </c>
      <c r="C60" s="30" t="n"/>
      <c r="D60" s="30" t="n"/>
      <c r="E60" s="30" t="n"/>
      <c r="F60" s="30" t="n"/>
      <c r="G60" s="30" t="n"/>
    </row>
    <row r="61" ht="26" customHeight="1">
      <c r="B61" s="32" t="inlineStr">
        <is>
          <t>ID</t>
        </is>
      </c>
      <c r="C61" s="32" t="inlineStr">
        <is>
          <t>Criterion</t>
        </is>
      </c>
      <c r="D61" s="32" t="inlineStr">
        <is>
          <t>Question</t>
        </is>
      </c>
      <c r="E61" s="32" t="inlineStr">
        <is>
          <t>Answer</t>
        </is>
      </c>
      <c r="F61" s="32" t="inlineStr">
        <is>
          <t>Score</t>
        </is>
      </c>
      <c r="G61" s="32" t="inlineStr">
        <is>
          <t>Evidence / Notes</t>
        </is>
      </c>
    </row>
    <row r="62" ht="34" customHeight="1">
      <c r="B62" s="33" t="inlineStr">
        <is>
          <t xml:space="preserve">  PEOPLE &amp; ORGANIZATION</t>
        </is>
      </c>
      <c r="C62" s="34" t="n"/>
      <c r="D62" s="34" t="n"/>
      <c r="E62" s="34" t="n"/>
      <c r="F62" s="34" t="n"/>
      <c r="G62" s="34" t="n"/>
    </row>
    <row r="63" ht="20" customHeight="1">
      <c r="B63" s="31" t="inlineStr">
        <is>
          <t>Assesses the human and organizational factors that enable effective detection engineering, drawn from Kyle Bailey's Detection Engineering Maturity Matrix.</t>
        </is>
      </c>
      <c r="C63" s="30" t="n"/>
      <c r="D63" s="30" t="n"/>
      <c r="E63" s="30" t="n"/>
      <c r="F63" s="30" t="n"/>
      <c r="G63" s="30" t="n"/>
    </row>
    <row r="64" ht="115" customHeight="1">
      <c r="B64" s="16" t="inlineStr">
        <is>
          <t>EP-Q1</t>
        </is>
      </c>
      <c r="C64" s="17" t="inlineStr">
        <is>
          <t>Team Structure and Dedicated Roles</t>
        </is>
      </c>
      <c r="D64"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4" s="19" t="n"/>
      <c r="F64" s="20">
        <f>IF(E64="","",E64)</f>
        <v/>
      </c>
      <c r="G64" s="21" t="n"/>
    </row>
    <row r="65" ht="115" customHeight="1">
      <c r="B65" s="35" t="inlineStr">
        <is>
          <t>EP-Q2</t>
        </is>
      </c>
      <c r="C65" s="36" t="inlineStr">
        <is>
          <t>Skills Development and Training</t>
        </is>
      </c>
      <c r="D65" s="37"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5" s="19" t="n"/>
      <c r="F65" s="38">
        <f>IF(E65="","",E65)</f>
        <v/>
      </c>
      <c r="G65" s="21" t="n"/>
    </row>
    <row r="66" ht="115" customHeight="1">
      <c r="B66" s="16" t="inlineStr">
        <is>
          <t>EP-Q3</t>
        </is>
      </c>
      <c r="C66" s="17" t="inlineStr">
        <is>
          <t>Leadership Commitment and Executive Sponsorship</t>
        </is>
      </c>
      <c r="D66"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6" s="19" t="n"/>
      <c r="F66" s="20">
        <f>IF(E66="","",E66)</f>
        <v/>
      </c>
      <c r="G66" s="21" t="n"/>
    </row>
    <row r="67" ht="35" customHeight="1">
      <c r="B67" s="35" t="inlineStr">
        <is>
          <t>EP-Q4</t>
        </is>
      </c>
      <c r="C67" s="39" t="inlineStr">
        <is>
          <t>Leadership Commitment and Executive Sponsorship</t>
        </is>
      </c>
      <c r="D67" s="37" t="inlineStr">
        <is>
          <t>Does your detection engineering team present metrics or results to executive leadership at least quarterly?</t>
        </is>
      </c>
      <c r="E67" s="19" t="n"/>
      <c r="F67" s="38">
        <f>IF(E67="Yes",3,IF(E67="No",1,""))</f>
        <v/>
      </c>
      <c r="G67" s="21" t="n"/>
    </row>
    <row r="68" ht="35" customHeight="1">
      <c r="B68" s="16" t="inlineStr">
        <is>
          <t>EP-Q5</t>
        </is>
      </c>
      <c r="C68" s="27" t="inlineStr">
        <is>
          <t>Leadership Commitment and Executive Sponsorship</t>
        </is>
      </c>
      <c r="D68" s="18" t="inlineStr">
        <is>
          <t>Has executive leadership made investment or staffing decisions based on detection engineering metrics or recommendations in the past year?</t>
        </is>
      </c>
      <c r="E68" s="19" t="n"/>
      <c r="F68" s="20">
        <f>IF(E68="Yes",4,IF(E68="No",1,""))</f>
        <v/>
      </c>
      <c r="G68" s="21" t="n"/>
    </row>
    <row r="69" ht="35" customHeight="1">
      <c r="B69" s="35" t="inlineStr">
        <is>
          <t>EP-Q6</t>
        </is>
      </c>
      <c r="C69" s="36" t="inlineStr">
        <is>
          <t>Team Structure and Dedicated Roles</t>
        </is>
      </c>
      <c r="D69" s="37" t="inlineStr">
        <is>
          <t>Are designated owners assigned for key detection engineering activities (e.g., threat landscape monitoring, rule testing and release, detection lifecycle management)?</t>
        </is>
      </c>
      <c r="E69" s="19" t="n"/>
      <c r="F69" s="38">
        <f>IF(E69="Yes",3,IF(E69="No",1,""))</f>
        <v/>
      </c>
      <c r="G69" s="21" t="n"/>
    </row>
    <row r="70" ht="34" customHeight="1">
      <c r="B70" s="33" t="inlineStr">
        <is>
          <t xml:space="preserve">  PROCESS &amp; GOVERNANCE</t>
        </is>
      </c>
      <c r="C70" s="34" t="n"/>
      <c r="D70" s="34" t="n"/>
      <c r="E70" s="34" t="n"/>
      <c r="F70" s="34" t="n"/>
      <c r="G70" s="34" t="n"/>
    </row>
    <row r="71" ht="20" customHeight="1">
      <c r="B71" s="31" t="inlineStr">
        <is>
          <t>Assesses the process maturity and governance structures supporting detection engineering, drawn from Kyle Bailey's Detection Engineering Maturity Matrix.</t>
        </is>
      </c>
      <c r="C71" s="30" t="n"/>
      <c r="D71" s="30" t="n"/>
      <c r="E71" s="30" t="n"/>
      <c r="F71" s="30" t="n"/>
      <c r="G71" s="30" t="n"/>
    </row>
    <row r="72" ht="115" customHeight="1">
      <c r="B72" s="16" t="inlineStr">
        <is>
          <t>EG-Q1</t>
        </is>
      </c>
      <c r="C72" s="17" t="inlineStr">
        <is>
          <t>Detection Lifecycle Workflow</t>
        </is>
      </c>
      <c r="D72"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72" s="19" t="n"/>
      <c r="F72" s="20">
        <f>IF(E72="","",E72)</f>
        <v/>
      </c>
      <c r="G72" s="21" t="n"/>
    </row>
    <row r="73" ht="115" customHeight="1">
      <c r="B73" s="35" t="inlineStr">
        <is>
          <t>EG-Q2</t>
        </is>
      </c>
      <c r="C73" s="36" t="inlineStr">
        <is>
          <t>Metrics and KPI Tracking</t>
        </is>
      </c>
      <c r="D73" s="37"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73" s="19" t="n"/>
      <c r="F73" s="38">
        <f>IF(E73="","",E73)</f>
        <v/>
      </c>
      <c r="G73" s="21" t="n"/>
    </row>
    <row r="74" ht="115" customHeight="1">
      <c r="B74" s="16" t="inlineStr">
        <is>
          <t>EG-Q3</t>
        </is>
      </c>
      <c r="C74" s="27" t="inlineStr">
        <is>
          <t>Metrics and KPI Tracking</t>
        </is>
      </c>
      <c r="D74"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4" s="19" t="n"/>
      <c r="F74" s="20">
        <f>IF(E74="","",E74)</f>
        <v/>
      </c>
      <c r="G74" s="21" t="n"/>
    </row>
    <row r="75" ht="115" customHeight="1">
      <c r="B75" s="35" t="inlineStr">
        <is>
          <t>EG-Q4</t>
        </is>
      </c>
      <c r="C75" s="36" t="inlineStr">
        <is>
          <t>Cross-Team Collaboration</t>
        </is>
      </c>
      <c r="D75" s="37"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5" s="19" t="n"/>
      <c r="F75" s="38">
        <f>IF(E75="","",E75)</f>
        <v/>
      </c>
      <c r="G75" s="21" t="n"/>
    </row>
    <row r="76" ht="35" customHeight="1">
      <c r="B76" s="16" t="inlineStr">
        <is>
          <t>EG-Q5</t>
        </is>
      </c>
      <c r="C76" s="17" t="inlineStr">
        <is>
          <t>Detection Lifecycle Workflow</t>
        </is>
      </c>
      <c r="D76" s="18" t="inlineStr">
        <is>
          <t>Is there a defined process to incorporate lessons learned from security incidents into detection rule updates?</t>
        </is>
      </c>
      <c r="E76" s="19" t="n"/>
      <c r="F76" s="20">
        <f>IF(E76="Yes",4,IF(E76="No",1,""))</f>
        <v/>
      </c>
      <c r="G76" s="21" t="n"/>
    </row>
  </sheetData>
  <mergeCells count="24">
    <mergeCell ref="B14:G14"/>
    <mergeCell ref="B60:G60"/>
    <mergeCell ref="B23:G23"/>
    <mergeCell ref="B13:G13"/>
    <mergeCell ref="A1:H1"/>
    <mergeCell ref="B44:G44"/>
    <mergeCell ref="D6:E6"/>
    <mergeCell ref="B34:G34"/>
    <mergeCell ref="B10:G10"/>
    <mergeCell ref="B24:G24"/>
    <mergeCell ref="B51:G51"/>
    <mergeCell ref="D7:E7"/>
    <mergeCell ref="A2:H2"/>
    <mergeCell ref="B63:G63"/>
    <mergeCell ref="B35:G35"/>
    <mergeCell ref="B50:G50"/>
    <mergeCell ref="D4:E4"/>
    <mergeCell ref="B62:G62"/>
    <mergeCell ref="B59:G59"/>
    <mergeCell ref="D5:E5"/>
    <mergeCell ref="B71:G71"/>
    <mergeCell ref="B43:G43"/>
    <mergeCell ref="B70:G70"/>
    <mergeCell ref="B11:G11"/>
  </mergeCells>
  <conditionalFormatting sqref="F13:F76">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2">
    <dataValidation sqref="E16 E20 E21 E22 E29 E30 E39 E40 E41 E53 E54 E57 E67 E68 E69 E76" showDropDown="0" showInputMessage="0" showErrorMessage="0" allowBlank="1" errorTitle="Invalid Entry" error="Please select Yes or No" promptTitle="Answer" prompt="Select Yes or No" type="list">
      <formula1>"Yes,No"</formula1>
    </dataValidation>
    <dataValidation sqref="E15 E17 E18 E19 E25 E26 E27 E28 E31 E32 E33 E36 E37 E38 E42 E45 E46 E47 E48 E49 E52 E55 E56 E64 E65 E66 E72 E73 E74 E75"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40" t="inlineStr">
        <is>
          <t>Overall Maturity Score</t>
        </is>
      </c>
      <c r="C5" s="41" t="n"/>
      <c r="D5" s="40" t="inlineStr">
        <is>
          <t>Achieved DEBMM Tier</t>
        </is>
      </c>
      <c r="E5" s="41" t="n"/>
      <c r="F5" s="40" t="inlineStr">
        <is>
          <t>Completion</t>
        </is>
      </c>
    </row>
    <row r="6" ht="60" customHeight="1">
      <c r="B6" s="42">
        <f>IF(COUNT(D13,D14,D15,D16,D18,D19,D20,D21,D22,D23,D25,D26,D27,D29,D30,D31,D33,D34,D40,D41,D42,D44,D45,D46)=0,"",ROUND(AVERAGE(D13,D14,D15,D16,D18,D19,D20,D21,D22,D23,D25,D26,D27,D29,D30,D31,D33,D34,D40,D41,D42,D44,D45,D46),2)&amp;" / 5.0")</f>
        <v/>
      </c>
      <c r="C6" s="43" t="n"/>
      <c r="D6" s="44">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3" t="n"/>
      <c r="F6" s="44">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7" ht="8" customHeight="1"/>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6" t="inlineStr">
        <is>
          <t>Foundation</t>
        </is>
      </c>
      <c r="D12" s="47">
        <f>IF(COUNT(D13,D14,D15,D16)=0,"",AVERAGE(D13,D14,D15,D16))</f>
        <v/>
      </c>
      <c r="E12" s="48">
        <f>IF(D12="","",IF(D12&gt;=4.5,"Optimized",IF(D12&gt;=3.5,"Managed",IF(D12&gt;=3.0,"Defined",IF(D12&gt;=2.0,"Repeatable","Initial")))))</f>
        <v/>
      </c>
      <c r="F12" s="48">
        <f>IF(D12="","",IF(D12&gt;=3,"✓ Pass","✗ Below Target"))</f>
        <v/>
      </c>
    </row>
    <row r="13">
      <c r="C13" s="49" t="inlineStr">
        <is>
          <t xml:space="preserve">    Structured Rule Development Approach</t>
        </is>
      </c>
      <c r="D13" s="50">
        <f>IF(COUNT(Assessment!F15,Assessment!F16)=0,"",AVERAGE(Assessment!F15,Assessment!F16))</f>
        <v/>
      </c>
      <c r="E13" s="51">
        <f>IF(D13="","",IF(D13&gt;=4.5,"Optimized",IF(D13&gt;=3.5,"Managed",IF(D13&gt;=3.0,"Defined",IF(D13&gt;=2.0,"Repeatable","Initial")))))</f>
        <v/>
      </c>
      <c r="F13" s="51">
        <f>IF(D13="","",IF(D13&gt;=3,"✓ Pass","✗ Below Target"))</f>
        <v/>
      </c>
    </row>
    <row r="14">
      <c r="C14" s="49" t="inlineStr">
        <is>
          <t xml:space="preserve">    Rule Creation and Maintenance</t>
        </is>
      </c>
      <c r="D14" s="50">
        <f>IF(COUNT(Assessment!F17)=0,"",AVERAGE(Assessment!F17))</f>
        <v/>
      </c>
      <c r="E14" s="51">
        <f>IF(D14="","",IF(D14&gt;=4.5,"Optimized",IF(D14&gt;=3.5,"Managed",IF(D14&gt;=3.0,"Defined",IF(D14&gt;=2.0,"Repeatable","Initial")))))</f>
        <v/>
      </c>
      <c r="F14" s="51">
        <f>IF(D14="","",IF(D14&gt;=3,"✓ Pass","✗ Below Target"))</f>
        <v/>
      </c>
    </row>
    <row r="15">
      <c r="C15" s="49" t="inlineStr">
        <is>
          <t xml:space="preserve">    Roadmap Documentation</t>
        </is>
      </c>
      <c r="D15" s="50">
        <f>IF(COUNT(Assessment!F18)=0,"",AVERAGE(Assessment!F18))</f>
        <v/>
      </c>
      <c r="E15" s="51">
        <f>IF(D15="","",IF(D15&gt;=4.5,"Optimized",IF(D15&gt;=3.5,"Managed",IF(D15&gt;=3.0,"Defined",IF(D15&gt;=2.0,"Repeatable","Initial")))))</f>
        <v/>
      </c>
      <c r="F15" s="51">
        <f>IF(D15="","",IF(D15&gt;=3,"✓ Pass","✗ Below Target"))</f>
        <v/>
      </c>
    </row>
    <row r="16">
      <c r="C16" s="49" t="inlineStr">
        <is>
          <t xml:space="preserve">    Threat Modeling</t>
        </is>
      </c>
      <c r="D16" s="50">
        <f>IF(COUNT(Assessment!F19,Assessment!F20,Assessment!F21,Assessment!F22)=0,"",AVERAGE(Assessment!F19,Assessment!F20,Assessment!F21,Assessment!F22))</f>
        <v/>
      </c>
      <c r="E16" s="51">
        <f>IF(D16="","",IF(D16&gt;=4.5,"Optimized",IF(D16&gt;=3.5,"Managed",IF(D16&gt;=3.0,"Defined",IF(D16&gt;=2.0,"Repeatable","Initial")))))</f>
        <v/>
      </c>
      <c r="F16" s="51">
        <f>IF(D16="","",IF(D16&gt;=3,"✓ Pass","✗ Below Target"))</f>
        <v/>
      </c>
    </row>
    <row r="17" ht="28" customHeight="1">
      <c r="C17" s="46" t="inlineStr">
        <is>
          <t>Basic</t>
        </is>
      </c>
      <c r="D17" s="47">
        <f>IF(COUNT(D18,D19,D20,D21,D22,D23)=0,"",AVERAGE(D18,D19,D20,D21,D22,D23))</f>
        <v/>
      </c>
      <c r="E17" s="48">
        <f>IF(D17="","",IF(D17&gt;=4.5,"Optimized",IF(D17&gt;=3.5,"Managed",IF(D17&gt;=3.0,"Defined",IF(D17&gt;=2.0,"Repeatable","Initial")))))</f>
        <v/>
      </c>
      <c r="F17" s="48">
        <f>IF(D17="","",IF(D17&gt;=3,"✓ Pass","✗ Below Target"))</f>
        <v/>
      </c>
    </row>
    <row r="18">
      <c r="C18" s="49" t="inlineStr">
        <is>
          <t xml:space="preserve">    Baseline Rule Creation</t>
        </is>
      </c>
      <c r="D18" s="50">
        <f>IF(COUNT(Assessment!F25,Assessment!F26)=0,"",AVERAGE(Assessment!F25,Assessment!F26))</f>
        <v/>
      </c>
      <c r="E18" s="51">
        <f>IF(D18="","",IF(D18&gt;=4.5,"Optimized",IF(D18&gt;=3.5,"Managed",IF(D18&gt;=3.0,"Defined",IF(D18&gt;=2.0,"Repeatable","Initial")))))</f>
        <v/>
      </c>
      <c r="F18" s="51">
        <f>IF(D18="","",IF(D18&gt;=3,"✓ Pass","✗ Below Target"))</f>
        <v/>
      </c>
    </row>
    <row r="19">
      <c r="C19" s="49" t="inlineStr">
        <is>
          <t xml:space="preserve">    Ruleset Management and Maintenance</t>
        </is>
      </c>
      <c r="D19" s="50">
        <f>IF(COUNT(Assessment!F27)=0,"",AVERAGE(Assessment!F27))</f>
        <v/>
      </c>
      <c r="E19" s="51">
        <f>IF(D19="","",IF(D19&gt;=4.5,"Optimized",IF(D19&gt;=3.5,"Managed",IF(D19&gt;=3.0,"Defined",IF(D19&gt;=2.0,"Repeatable","Initial")))))</f>
        <v/>
      </c>
      <c r="F19" s="51">
        <f>IF(D19="","",IF(D19&gt;=3,"✓ Pass","✗ Below Target"))</f>
        <v/>
      </c>
    </row>
    <row r="20">
      <c r="C20" s="49" t="inlineStr">
        <is>
          <t xml:space="preserve">    Telemetry Quality</t>
        </is>
      </c>
      <c r="D20" s="50">
        <f>IF(COUNT(Assessment!F28,Assessment!F29,Assessment!F30)=0,"",AVERAGE(Assessment!F28,Assessment!F29,Assessment!F30))</f>
        <v/>
      </c>
      <c r="E20" s="51">
        <f>IF(D20="","",IF(D20&gt;=4.5,"Optimized",IF(D20&gt;=3.5,"Managed",IF(D20&gt;=3.0,"Defined",IF(D20&gt;=2.0,"Repeatable","Initial")))))</f>
        <v/>
      </c>
      <c r="F20" s="51">
        <f>IF(D20="","",IF(D20&gt;=3,"✓ Pass","✗ Below Target"))</f>
        <v/>
      </c>
    </row>
    <row r="21">
      <c r="C21" s="49" t="inlineStr">
        <is>
          <t xml:space="preserve">    Threat Landscape Review</t>
        </is>
      </c>
      <c r="D21" s="50">
        <f>IF(COUNT(Assessment!F31)=0,"",AVERAGE(Assessment!F31))</f>
        <v/>
      </c>
      <c r="E21" s="51">
        <f>IF(D21="","",IF(D21&gt;=4.5,"Optimized",IF(D21&gt;=3.5,"Managed",IF(D21&gt;=3.0,"Defined",IF(D21&gt;=2.0,"Repeatable","Initial")))))</f>
        <v/>
      </c>
      <c r="F21" s="51">
        <f>IF(D21="","",IF(D21&gt;=3,"✓ Pass","✗ Below Target"))</f>
        <v/>
      </c>
    </row>
    <row r="22">
      <c r="C22" s="49" t="inlineStr">
        <is>
          <t xml:space="preserve">    Product Owner Engagement</t>
        </is>
      </c>
      <c r="D22" s="50">
        <f>IF(COUNT(Assessment!F32)=0,"",AVERAGE(Assessment!F32))</f>
        <v/>
      </c>
      <c r="E22" s="51">
        <f>IF(D22="","",IF(D22&gt;=4.5,"Optimized",IF(D22&gt;=3.5,"Managed",IF(D22&gt;=3.0,"Defined",IF(D22&gt;=2.0,"Repeatable","Initial")))))</f>
        <v/>
      </c>
      <c r="F22" s="51">
        <f>IF(D22="","",IF(D22&gt;=3,"✓ Pass","✗ Below Target"))</f>
        <v/>
      </c>
    </row>
    <row r="23">
      <c r="C23" s="49" t="inlineStr">
        <is>
          <t xml:space="preserve">    Release Testing and Validation</t>
        </is>
      </c>
      <c r="D23" s="50">
        <f>IF(COUNT(Assessment!F33)=0,"",AVERAGE(Assessment!F33))</f>
        <v/>
      </c>
      <c r="E23" s="51">
        <f>IF(D23="","",IF(D23&gt;=4.5,"Optimized",IF(D23&gt;=3.5,"Managed",IF(D23&gt;=3.0,"Defined",IF(D23&gt;=2.0,"Repeatable","Initial")))))</f>
        <v/>
      </c>
      <c r="F23" s="51">
        <f>IF(D23="","",IF(D23&gt;=3,"✓ Pass","✗ Below Target"))</f>
        <v/>
      </c>
    </row>
    <row r="24" ht="28" customHeight="1">
      <c r="C24" s="46" t="inlineStr">
        <is>
          <t>Intermediate</t>
        </is>
      </c>
      <c r="D24" s="47">
        <f>IF(COUNT(D25,D26,D27)=0,"",AVERAGE(D25,D26,D27))</f>
        <v/>
      </c>
      <c r="E24" s="48">
        <f>IF(D24="","",IF(D24&gt;=4.5,"Optimized",IF(D24&gt;=3.5,"Managed",IF(D24&gt;=3.0,"Defined",IF(D24&gt;=2.0,"Repeatable","Initial")))))</f>
        <v/>
      </c>
      <c r="F24" s="48">
        <f>IF(D24="","",IF(D24&gt;=3,"✓ Pass","✗ Below Target"))</f>
        <v/>
      </c>
    </row>
    <row r="25">
      <c r="C25" s="49" t="inlineStr">
        <is>
          <t xml:space="preserve">    False Positive Tuning and Reduction</t>
        </is>
      </c>
      <c r="D25" s="50">
        <f>IF(COUNT(Assessment!F36,Assessment!F37)=0,"",AVERAGE(Assessment!F36,Assessment!F37))</f>
        <v/>
      </c>
      <c r="E25" s="51">
        <f>IF(D25="","",IF(D25&gt;=4.5,"Optimized",IF(D25&gt;=3.5,"Managed",IF(D25&gt;=3.0,"Defined",IF(D25&gt;=2.0,"Repeatable","Initial")))))</f>
        <v/>
      </c>
      <c r="F25" s="51">
        <f>IF(D25="","",IF(D25&gt;=3,"✓ Pass","✗ Below Target"))</f>
        <v/>
      </c>
    </row>
    <row r="26">
      <c r="C26" s="49" t="inlineStr">
        <is>
          <t xml:space="preserve">    Gap Analysis and Documentation</t>
        </is>
      </c>
      <c r="D26" s="50">
        <f>IF(COUNT(Assessment!F38,Assessment!F39,Assessment!F40,Assessment!F41)=0,"",AVERAGE(Assessment!F38,Assessment!F39,Assessment!F40,Assessment!F41))</f>
        <v/>
      </c>
      <c r="E26" s="51">
        <f>IF(D26="","",IF(D26&gt;=4.5,"Optimized",IF(D26&gt;=3.5,"Managed",IF(D26&gt;=3.0,"Defined",IF(D26&gt;=2.0,"Repeatable","Initial")))))</f>
        <v/>
      </c>
      <c r="F26" s="51">
        <f>IF(D26="","",IF(D26&gt;=3,"✓ Pass","✗ Below Target"))</f>
        <v/>
      </c>
    </row>
    <row r="27">
      <c r="C27" s="49" t="inlineStr">
        <is>
          <t xml:space="preserve">    Internal Testing and Validation</t>
        </is>
      </c>
      <c r="D27" s="50">
        <f>IF(COUNT(Assessment!F42)=0,"",AVERAGE(Assessment!F42))</f>
        <v/>
      </c>
      <c r="E27" s="51">
        <f>IF(D27="","",IF(D27&gt;=4.5,"Optimized",IF(D27&gt;=3.5,"Managed",IF(D27&gt;=3.0,"Defined",IF(D27&gt;=2.0,"Repeatable","Initial")))))</f>
        <v/>
      </c>
      <c r="F27" s="51">
        <f>IF(D27="","",IF(D27&gt;=3,"✓ Pass","✗ Below Target"))</f>
        <v/>
      </c>
    </row>
    <row r="28" ht="28" customHeight="1">
      <c r="C28" s="46" t="inlineStr">
        <is>
          <t>Advanced</t>
        </is>
      </c>
      <c r="D28" s="47">
        <f>IF(COUNT(D29,D30,D31)=0,"",AVERAGE(D29,D30,D31))</f>
        <v/>
      </c>
      <c r="E28" s="48">
        <f>IF(D28="","",IF(D28&gt;=4.5,"Optimized",IF(D28&gt;=3.5,"Managed",IF(D28&gt;=3.0,"Defined",IF(D28&gt;=2.0,"Repeatable","Initial")))))</f>
        <v/>
      </c>
      <c r="F28" s="48">
        <f>IF(D28="","",IF(D28&gt;=3,"✓ Pass","✗ Below Target"))</f>
        <v/>
      </c>
    </row>
    <row r="29">
      <c r="C29" s="49" t="inlineStr">
        <is>
          <t xml:space="preserve">    False Negative Triage</t>
        </is>
      </c>
      <c r="D29" s="50">
        <f>IF(COUNT(Assessment!F45,Assessment!F46)=0,"",AVERAGE(Assessment!F45,Assessment!F46))</f>
        <v/>
      </c>
      <c r="E29" s="51">
        <f>IF(D29="","",IF(D29&gt;=4.5,"Optimized",IF(D29&gt;=3.5,"Managed",IF(D29&gt;=3.0,"Defined",IF(D29&gt;=2.0,"Repeatable","Initial")))))</f>
        <v/>
      </c>
      <c r="F29" s="51">
        <f>IF(D29="","",IF(D29&gt;=3,"✓ Pass","✗ Below Target"))</f>
        <v/>
      </c>
    </row>
    <row r="30">
      <c r="C30" s="49" t="inlineStr">
        <is>
          <t xml:space="preserve">    External Validation</t>
        </is>
      </c>
      <c r="D30" s="50">
        <f>IF(COUNT(Assessment!F47)=0,"",AVERAGE(Assessment!F47))</f>
        <v/>
      </c>
      <c r="E30" s="51">
        <f>IF(D30="","",IF(D30&gt;=4.5,"Optimized",IF(D30&gt;=3.5,"Managed",IF(D30&gt;=3.0,"Defined",IF(D30&gt;=2.0,"Repeatable","Initial")))))</f>
        <v/>
      </c>
      <c r="F30" s="51">
        <f>IF(D30="","",IF(D30&gt;=3,"✓ Pass","✗ Below Target"))</f>
        <v/>
      </c>
    </row>
    <row r="31">
      <c r="C31" s="49" t="inlineStr">
        <is>
          <t xml:space="preserve">    Advanced TTP Coverage</t>
        </is>
      </c>
      <c r="D31" s="50">
        <f>IF(COUNT(Assessment!F48,Assessment!F49)=0,"",AVERAGE(Assessment!F48,Assessment!F49))</f>
        <v/>
      </c>
      <c r="E31" s="51">
        <f>IF(D31="","",IF(D31&gt;=4.5,"Optimized",IF(D31&gt;=3.5,"Managed",IF(D31&gt;=3.0,"Defined",IF(D31&gt;=2.0,"Repeatable","Initial")))))</f>
        <v/>
      </c>
      <c r="F31" s="51">
        <f>IF(D31="","",IF(D31&gt;=3,"✓ Pass","✗ Below Target"))</f>
        <v/>
      </c>
    </row>
    <row r="32" ht="28" customHeight="1">
      <c r="C32" s="46" t="inlineStr">
        <is>
          <t>Expert</t>
        </is>
      </c>
      <c r="D32" s="47">
        <f>IF(COUNT(D33,D34)=0,"",AVERAGE(D33,D34))</f>
        <v/>
      </c>
      <c r="E32" s="48">
        <f>IF(D32="","",IF(D32&gt;=4.5,"Optimized",IF(D32&gt;=3.5,"Managed",IF(D32&gt;=3.0,"Defined",IF(D32&gt;=2.0,"Repeatable","Initial")))))</f>
        <v/>
      </c>
      <c r="F32" s="48">
        <f>IF(D32="","",IF(D32&gt;=3,"✓ Pass","✗ Below Target"))</f>
        <v/>
      </c>
    </row>
    <row r="33">
      <c r="C33" s="49" t="inlineStr">
        <is>
          <t xml:space="preserve">    Threat Hunting in Telemetry</t>
        </is>
      </c>
      <c r="D33" s="50">
        <f>IF(COUNT(Assessment!F52,Assessment!F53,Assessment!F54)=0,"",AVERAGE(Assessment!F52,Assessment!F53,Assessment!F54))</f>
        <v/>
      </c>
      <c r="E33" s="51">
        <f>IF(D33="","",IF(D33&gt;=4.5,"Optimized",IF(D33&gt;=3.5,"Managed",IF(D33&gt;=3.0,"Defined",IF(D33&gt;=2.0,"Repeatable","Initial")))))</f>
        <v/>
      </c>
      <c r="F33" s="51">
        <f>IF(D33="","",IF(D33&gt;=3,"✓ Pass","✗ Below Target"))</f>
        <v/>
      </c>
    </row>
    <row r="34">
      <c r="C34" s="49" t="inlineStr">
        <is>
          <t xml:space="preserve">    Automation and Continuous Improvement</t>
        </is>
      </c>
      <c r="D34" s="50">
        <f>IF(COUNT(Assessment!F55,Assessment!F56,Assessment!F57)=0,"",AVERAGE(Assessment!F55,Assessment!F56,Assessment!F57))</f>
        <v/>
      </c>
      <c r="E34" s="51">
        <f>IF(D34="","",IF(D34&gt;=4.5,"Optimized",IF(D34&gt;=3.5,"Managed",IF(D34&gt;=3.0,"Defined",IF(D34&gt;=2.0,"Repeatable","Initial")))))</f>
        <v/>
      </c>
      <c r="F34" s="51">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2" t="inlineStr">
        <is>
          <t>People &amp; Organization</t>
        </is>
      </c>
      <c r="D39" s="53">
        <f>IF(COUNT(D40,D41,D42)=0,"",AVERAGE(D40,D41,D42))</f>
        <v/>
      </c>
      <c r="E39" s="54">
        <f>IF(D39="","",IF(D39&gt;=4.5,"Optimized",IF(D39&gt;=3.5,"Managed",IF(D39&gt;=3.0,"Defined",IF(D39&gt;=2.0,"Repeatable","Initial")))))</f>
        <v/>
      </c>
      <c r="F39" s="54">
        <f>IF(D39="","",IF(D39&gt;=3,"✓ Pass","✗ Below Target"))</f>
        <v/>
      </c>
    </row>
    <row r="40">
      <c r="C40" s="49" t="inlineStr">
        <is>
          <t xml:space="preserve">    Team Structure and Dedicated Roles</t>
        </is>
      </c>
      <c r="D40" s="50">
        <f>IF(COUNT(Assessment!F64,Assessment!F69)=0,"",AVERAGE(Assessment!F64,Assessment!F69))</f>
        <v/>
      </c>
      <c r="E40" s="51">
        <f>IF(D40="","",IF(D40&gt;=4.5,"Optimized",IF(D40&gt;=3.5,"Managed",IF(D40&gt;=3.0,"Defined",IF(D40&gt;=2.0,"Repeatable","Initial")))))</f>
        <v/>
      </c>
      <c r="F40" s="51">
        <f>IF(D40="","",IF(D40&gt;=3,"✓ Pass","✗ Below Target"))</f>
        <v/>
      </c>
    </row>
    <row r="41">
      <c r="C41" s="49" t="inlineStr">
        <is>
          <t xml:space="preserve">    Skills Development and Training</t>
        </is>
      </c>
      <c r="D41" s="50">
        <f>IF(COUNT(Assessment!F65)=0,"",AVERAGE(Assessment!F65))</f>
        <v/>
      </c>
      <c r="E41" s="51">
        <f>IF(D41="","",IF(D41&gt;=4.5,"Optimized",IF(D41&gt;=3.5,"Managed",IF(D41&gt;=3.0,"Defined",IF(D41&gt;=2.0,"Repeatable","Initial")))))</f>
        <v/>
      </c>
      <c r="F41" s="51">
        <f>IF(D41="","",IF(D41&gt;=3,"✓ Pass","✗ Below Target"))</f>
        <v/>
      </c>
    </row>
    <row r="42">
      <c r="C42" s="49" t="inlineStr">
        <is>
          <t xml:space="preserve">    Leadership Commitment and Executive Sponsorship</t>
        </is>
      </c>
      <c r="D42" s="50">
        <f>IF(COUNT(Assessment!F66,Assessment!F67,Assessment!F68)=0,"",AVERAGE(Assessment!F66,Assessment!F67,Assessment!F68))</f>
        <v/>
      </c>
      <c r="E42" s="51">
        <f>IF(D42="","",IF(D42&gt;=4.5,"Optimized",IF(D42&gt;=3.5,"Managed",IF(D42&gt;=3.0,"Defined",IF(D42&gt;=2.0,"Repeatable","Initial")))))</f>
        <v/>
      </c>
      <c r="F42" s="51">
        <f>IF(D42="","",IF(D42&gt;=3,"✓ Pass","✗ Below Target"))</f>
        <v/>
      </c>
    </row>
    <row r="43" ht="28" customHeight="1">
      <c r="C43" s="52" t="inlineStr">
        <is>
          <t>Process &amp; Governance</t>
        </is>
      </c>
      <c r="D43" s="53">
        <f>IF(COUNT(D44,D45,D46)=0,"",AVERAGE(D44,D45,D46))</f>
        <v/>
      </c>
      <c r="E43" s="54">
        <f>IF(D43="","",IF(D43&gt;=4.5,"Optimized",IF(D43&gt;=3.5,"Managed",IF(D43&gt;=3.0,"Defined",IF(D43&gt;=2.0,"Repeatable","Initial")))))</f>
        <v/>
      </c>
      <c r="F43" s="54">
        <f>IF(D43="","",IF(D43&gt;=3,"✓ Pass","✗ Below Target"))</f>
        <v/>
      </c>
    </row>
    <row r="44">
      <c r="C44" s="49" t="inlineStr">
        <is>
          <t xml:space="preserve">    Detection Lifecycle Workflow</t>
        </is>
      </c>
      <c r="D44" s="50">
        <f>IF(COUNT(Assessment!F72,Assessment!F76)=0,"",AVERAGE(Assessment!F72,Assessment!F76))</f>
        <v/>
      </c>
      <c r="E44" s="51">
        <f>IF(D44="","",IF(D44&gt;=4.5,"Optimized",IF(D44&gt;=3.5,"Managed",IF(D44&gt;=3.0,"Defined",IF(D44&gt;=2.0,"Repeatable","Initial")))))</f>
        <v/>
      </c>
      <c r="F44" s="51">
        <f>IF(D44="","",IF(D44&gt;=3,"✓ Pass","✗ Below Target"))</f>
        <v/>
      </c>
    </row>
    <row r="45">
      <c r="C45" s="49" t="inlineStr">
        <is>
          <t xml:space="preserve">    Metrics and KPI Tracking</t>
        </is>
      </c>
      <c r="D45" s="50">
        <f>IF(COUNT(Assessment!F73,Assessment!F74)=0,"",AVERAGE(Assessment!F73,Assessment!F74))</f>
        <v/>
      </c>
      <c r="E45" s="51">
        <f>IF(D45="","",IF(D45&gt;=4.5,"Optimized",IF(D45&gt;=3.5,"Managed",IF(D45&gt;=3.0,"Defined",IF(D45&gt;=2.0,"Repeatable","Initial")))))</f>
        <v/>
      </c>
      <c r="F45" s="51">
        <f>IF(D45="","",IF(D45&gt;=3,"✓ Pass","✗ Below Target"))</f>
        <v/>
      </c>
    </row>
    <row r="46">
      <c r="C46" s="49" t="inlineStr">
        <is>
          <t xml:space="preserve">    Cross-Team Collaboration</t>
        </is>
      </c>
      <c r="D46" s="50">
        <f>IF(COUNT(Assessment!F75)=0,"",AVERAGE(Assessment!F75))</f>
        <v/>
      </c>
      <c r="E46" s="51">
        <f>IF(D46="","",IF(D46&gt;=4.5,"Optimized",IF(D46&gt;=3.5,"Managed",IF(D46&gt;=3.0,"Defined",IF(D46&gt;=2.0,"Repeatable","Initial")))))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6" t="inlineStr">
        <is>
          <t>Foundation</t>
        </is>
      </c>
      <c r="C5" s="55">
        <f>'Results Dashboard'!D12</f>
        <v/>
      </c>
    </row>
    <row r="6" ht="22" customHeight="1">
      <c r="B6" s="46" t="inlineStr">
        <is>
          <t>Basic</t>
        </is>
      </c>
      <c r="C6" s="55">
        <f>'Results Dashboard'!D17</f>
        <v/>
      </c>
    </row>
    <row r="7" ht="22" customHeight="1">
      <c r="B7" s="46" t="inlineStr">
        <is>
          <t>Intermediate</t>
        </is>
      </c>
      <c r="C7" s="55">
        <f>'Results Dashboard'!D24</f>
        <v/>
      </c>
    </row>
    <row r="8" ht="22" customHeight="1">
      <c r="B8" s="46" t="inlineStr">
        <is>
          <t>Advanced</t>
        </is>
      </c>
      <c r="C8" s="55">
        <f>'Results Dashboard'!D28</f>
        <v/>
      </c>
    </row>
    <row r="9" ht="22" customHeight="1">
      <c r="B9" s="46" t="inlineStr">
        <is>
          <t>Expert</t>
        </is>
      </c>
      <c r="C9" s="55">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6" t="inlineStr">
        <is>
          <t xml:space="preserve">  Supplementary dimensions — do not affect DEBMM tier determination</t>
        </is>
      </c>
      <c r="B2" s="34" t="n"/>
      <c r="C2" s="34" t="n"/>
      <c r="D2" s="34" t="n"/>
    </row>
    <row r="4" ht="24" customHeight="1">
      <c r="B4" s="32" t="inlineStr">
        <is>
          <t>Dimension</t>
        </is>
      </c>
      <c r="C4" s="32" t="inlineStr">
        <is>
          <t>Score</t>
        </is>
      </c>
    </row>
    <row r="5" ht="22" customHeight="1">
      <c r="B5" s="52" t="inlineStr">
        <is>
          <t>People &amp; Organization</t>
        </is>
      </c>
      <c r="C5" s="55">
        <f>'Results Dashboard'!D39</f>
        <v/>
      </c>
    </row>
    <row r="6" ht="22" customHeight="1">
      <c r="B6" s="52" t="inlineStr">
        <is>
          <t>Process &amp; Governance</t>
        </is>
      </c>
      <c r="C6" s="55">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7"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8" t="inlineStr">
        <is>
          <t>1 — Initial</t>
        </is>
      </c>
      <c r="B8" s="59" t="inlineStr">
        <is>
          <t>No structured approach to rule development. Rules are created randomly or reactively without any guiding methodology.</t>
        </is>
      </c>
      <c r="C8" s="59" t="inlineStr">
        <is>
          <t>0% of rules follow a formal development process.</t>
        </is>
      </c>
    </row>
    <row r="9" ht="42" customHeight="1">
      <c r="A9" s="60" t="inlineStr">
        <is>
          <t>2 — Repeatable</t>
        </is>
      </c>
      <c r="B9" s="61" t="inlineStr">
        <is>
          <t>Some rules follow a loose process, but it is inconsistently applied. Individual contributors may have personal workflows.</t>
        </is>
      </c>
      <c r="C9" s="61" t="inlineStr">
        <is>
          <t>&lt;30% of rules follow a documented development process.</t>
        </is>
      </c>
    </row>
    <row r="10" ht="42" customHeight="1">
      <c r="A10" s="62" t="inlineStr">
        <is>
          <t>3 — Defined</t>
        </is>
      </c>
      <c r="B10" s="63" t="inlineStr">
        <is>
          <t>A defined rule development methodology exists and is documented. Most new rules follow the standard process including peer review.</t>
        </is>
      </c>
      <c r="C10" s="63" t="inlineStr">
        <is>
          <t>50-70% of rules follow the documented process; schema alignment &gt;60%.</t>
        </is>
      </c>
    </row>
    <row r="11" ht="42" customHeight="1">
      <c r="A11" s="64" t="inlineStr">
        <is>
          <t>4 — Managed</t>
        </is>
      </c>
      <c r="B11" s="65" t="inlineStr">
        <is>
          <t>Rule development is standardized across the team with enforced workflows, templates, and quality gates. Deviations are tracked and addressed.</t>
        </is>
      </c>
      <c r="C11" s="65" t="inlineStr">
        <is>
          <t>80-90% schema alignment; all new rules go through formal review.</t>
        </is>
      </c>
    </row>
    <row r="12" ht="42" customHeight="1">
      <c r="A12" s="66" t="inlineStr">
        <is>
          <t>5 — Optimized</t>
        </is>
      </c>
      <c r="B12" s="67" t="inlineStr">
        <is>
          <t>Continuous improvement of the development process based on feedback loops. Process is fully integrated with CI/CD and automated quality checks.</t>
        </is>
      </c>
      <c r="C12" s="67"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8" t="inlineStr">
        <is>
          <t>1 — Initial</t>
        </is>
      </c>
      <c r="B16" s="59" t="inlineStr">
        <is>
          <t>Rules are created ad hoc with no maintenance schedule. Stale or broken rules accumulate over time.</t>
        </is>
      </c>
      <c r="C16" s="59" t="inlineStr">
        <is>
          <t>&lt;50% of rules reviewed annually.</t>
        </is>
      </c>
    </row>
    <row r="17" ht="42" customHeight="1">
      <c r="A17" s="60" t="inlineStr">
        <is>
          <t>2 — Repeatable</t>
        </is>
      </c>
      <c r="B17" s="61" t="inlineStr">
        <is>
          <t>Some rules are periodically reviewed, but there is no systematic maintenance process. Updates happen reactively.</t>
        </is>
      </c>
      <c r="C17" s="61" t="inlineStr">
        <is>
          <t>50-70% of rules reviewed annually; no formal peer review.</t>
        </is>
      </c>
    </row>
    <row r="18" ht="42" customHeight="1">
      <c r="A18" s="62" t="inlineStr">
        <is>
          <t>3 — Defined</t>
        </is>
      </c>
      <c r="B18" s="63" t="inlineStr">
        <is>
          <t>Regular rule review cycles are established. Rules have owners and defined review schedules. Peer review is standard practice.</t>
        </is>
      </c>
      <c r="C18" s="63" t="inlineStr">
        <is>
          <t>70-80% of rules reviewed on schedule; peer review on most changes.</t>
        </is>
      </c>
    </row>
    <row r="19" ht="42" customHeight="1">
      <c r="A19" s="64" t="inlineStr">
        <is>
          <t>4 — Managed</t>
        </is>
      </c>
      <c r="B19" s="65" t="inlineStr">
        <is>
          <t>Comprehensive rule lifecycle management with creation, testing, deployment, monitoring, and retirement processes. All changes are peer-reviewed.</t>
        </is>
      </c>
      <c r="C19" s="65" t="inlineStr">
        <is>
          <t>80-90% of rules reviewed on schedule; 100% peer review on changes.</t>
        </is>
      </c>
    </row>
    <row r="20" ht="42" customHeight="1">
      <c r="A20" s="66" t="inlineStr">
        <is>
          <t>5 — Optimized</t>
        </is>
      </c>
      <c r="B20" s="67" t="inlineStr">
        <is>
          <t>Continuous rule improvement with automated monitoring of rule health. Automated updates triggered by telemetry changes or threat intelligence.</t>
        </is>
      </c>
      <c r="C20" s="67"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8" t="inlineStr">
        <is>
          <t>1 — Initial</t>
        </is>
      </c>
      <c r="B24" s="59" t="inlineStr">
        <is>
          <t>No detection roadmap exists. Work is entirely reactive or driven by individual initiative.</t>
        </is>
      </c>
      <c r="C24" s="59" t="inlineStr">
        <is>
          <t>0% of detection work tied to a documented plan.</t>
        </is>
      </c>
    </row>
    <row r="25" ht="42" customHeight="1">
      <c r="A25" s="60" t="inlineStr">
        <is>
          <t>2 — Repeatable</t>
        </is>
      </c>
      <c r="B25" s="61" t="inlineStr">
        <is>
          <t>An informal roadmap or backlog exists but is not regularly maintained or communicated to stakeholders.</t>
        </is>
      </c>
      <c r="C25" s="61" t="inlineStr">
        <is>
          <t>&lt;30% of rules have scheduled review or development timelines.</t>
        </is>
      </c>
    </row>
    <row r="26" ht="42" customHeight="1">
      <c r="A26" s="62" t="inlineStr">
        <is>
          <t>3 — Defined</t>
        </is>
      </c>
      <c r="B26" s="63" t="inlineStr">
        <is>
          <t>A formal roadmap is documented, reviewed quarterly, and shared with relevant stakeholders. Priorities are clear.</t>
        </is>
      </c>
      <c r="C26" s="63" t="inlineStr">
        <is>
          <t>50-70% of planned work is tracked against the roadmap.</t>
        </is>
      </c>
    </row>
    <row r="27" ht="42" customHeight="1">
      <c r="A27" s="64" t="inlineStr">
        <is>
          <t>4 — Managed</t>
        </is>
      </c>
      <c r="B27" s="65" t="inlineStr">
        <is>
          <t>Roadmap is integrated with organizational security strategy. Progress is tracked with metrics and reported to leadership.</t>
        </is>
      </c>
      <c r="C27" s="65" t="inlineStr">
        <is>
          <t>70-90% of planned work tracked; quarterly roadmap reviews with leadership.</t>
        </is>
      </c>
    </row>
    <row r="28" ht="42" customHeight="1">
      <c r="A28" s="66" t="inlineStr">
        <is>
          <t>5 — Optimized</t>
        </is>
      </c>
      <c r="B28" s="67" t="inlineStr">
        <is>
          <t>Dynamic, continuously updated roadmap driven by threat intelligence, gap analysis, and organizational risk priorities.</t>
        </is>
      </c>
      <c r="C28" s="67"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8" t="inlineStr">
        <is>
          <t>1 — Initial</t>
        </is>
      </c>
      <c r="B32" s="59" t="inlineStr">
        <is>
          <t>No threat modeling is performed. Detection rules are not informed by a structured understanding of threats to the organization.</t>
        </is>
      </c>
      <c r="C32" s="59" t="inlineStr">
        <is>
          <t>Zero threat modeling exercises performed.</t>
        </is>
      </c>
    </row>
    <row r="33" ht="42" customHeight="1">
      <c r="A33" s="60" t="inlineStr">
        <is>
          <t>2 — Repeatable</t>
        </is>
      </c>
      <c r="B33" s="61" t="inlineStr">
        <is>
          <t>Occasional threat modeling exercises, typically triggered by incidents or major changes. Not regularly scheduled.</t>
        </is>
      </c>
      <c r="C33" s="61" t="inlineStr">
        <is>
          <t>&lt;1 formal threat modeling exercise per year.</t>
        </is>
      </c>
    </row>
    <row r="34" ht="42" customHeight="1">
      <c r="A34" s="62" t="inlineStr">
        <is>
          <t>3 — Defined</t>
        </is>
      </c>
      <c r="B34" s="63" t="inlineStr">
        <is>
          <t>Regular threat modeling exercises (at least quarterly) inform detection priorities. Results are documented and fed into the roadmap.</t>
        </is>
      </c>
      <c r="C34" s="63" t="inlineStr">
        <is>
          <t>Quarterly threat modeling exercises; results documented.</t>
        </is>
      </c>
    </row>
    <row r="35" ht="42" customHeight="1">
      <c r="A35" s="64" t="inlineStr">
        <is>
          <t>4 — Managed</t>
        </is>
      </c>
      <c r="B35" s="65" t="inlineStr">
        <is>
          <t>Threat modeling is integrated into the detection development lifecycle. New detections are prioritized based on threat model outputs.</t>
        </is>
      </c>
      <c r="C35" s="65" t="inlineStr">
        <is>
          <t>Monthly exercises; &gt;70% of new detections tied to threat model outputs.</t>
        </is>
      </c>
    </row>
    <row r="36" ht="42" customHeight="1">
      <c r="A36" s="66" t="inlineStr">
        <is>
          <t>5 — Optimized</t>
        </is>
      </c>
      <c r="B36" s="67" t="inlineStr">
        <is>
          <t>Continuous, proactive threat modeling incorporating real-time threat intelligence, attack surface changes, and emerging TTPs.</t>
        </is>
      </c>
      <c r="C36" s="67" t="inlineStr">
        <is>
          <t>Continuous modeling; real-time integration with threat intel feeds.</t>
        </is>
      </c>
    </row>
    <row r="38" ht="30" customHeight="1">
      <c r="A38" s="15" t="inlineStr">
        <is>
          <t xml:space="preserve">  Tier 1: Basic</t>
        </is>
      </c>
      <c r="B38" s="4" t="n"/>
      <c r="C38" s="4" t="n"/>
    </row>
    <row r="39" ht="36" customHeight="1">
      <c r="A39" s="57"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8" t="inlineStr">
        <is>
          <t>1 — Initial</t>
        </is>
      </c>
      <c r="B42" s="59" t="inlineStr">
        <is>
          <t>Few or no baseline detection rules exist. Coverage is minimal and limited to out-of-the-box vendor rules.</t>
        </is>
      </c>
      <c r="C42" s="59" t="inlineStr">
        <is>
          <t>&lt;10 custom baseline rules; minimal ATT&amp;CK technique coverage.</t>
        </is>
      </c>
    </row>
    <row r="43" ht="42" customHeight="1">
      <c r="A43" s="60" t="inlineStr">
        <is>
          <t>2 — Repeatable</t>
        </is>
      </c>
      <c r="B43" s="61" t="inlineStr">
        <is>
          <t>A small set of baseline rules covers the most critical threats. Rules are basic signature or IOC-based detections.</t>
        </is>
      </c>
      <c r="C43" s="61" t="inlineStr">
        <is>
          <t>10-30 baseline rules; &lt;30% ATT&amp;CK technique coverage for priority areas.</t>
        </is>
      </c>
    </row>
    <row r="44" ht="42" customHeight="1">
      <c r="A44" s="62" t="inlineStr">
        <is>
          <t>3 — Defined</t>
        </is>
      </c>
      <c r="B44" s="63" t="inlineStr">
        <is>
          <t>Baseline rules cover key threat categories with a mix of signature and behavioral detections. Coverage gaps are identified.</t>
        </is>
      </c>
      <c r="C44" s="63" t="inlineStr">
        <is>
          <t>30-60 baseline rules; 30-50% ATT&amp;CK technique coverage with documented gaps.</t>
        </is>
      </c>
    </row>
    <row r="45" ht="42" customHeight="1">
      <c r="A45" s="64" t="inlineStr">
        <is>
          <t>4 — Managed</t>
        </is>
      </c>
      <c r="B45" s="65" t="inlineStr">
        <is>
          <t>Comprehensive baseline with behavioral and TTP-focused detections. Rules are tuned per environment and regularly validated.</t>
        </is>
      </c>
      <c r="C45" s="65" t="inlineStr">
        <is>
          <t>60-100 baseline rules; 50-70% ATT&amp;CK technique coverage including behavioral detections; gaps tracked against threat model.</t>
        </is>
      </c>
    </row>
    <row r="46" ht="42" customHeight="1">
      <c r="A46" s="66" t="inlineStr">
        <is>
          <t>5 — Optimized</t>
        </is>
      </c>
      <c r="B46" s="67" t="inlineStr">
        <is>
          <t>Continuously refined baseline with full environment-specific tuning. Automated coverage analysis identifies and fills gaps proactively.</t>
        </is>
      </c>
      <c r="C46" s="67"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8" t="inlineStr">
        <is>
          <t>1 — Initial</t>
        </is>
      </c>
      <c r="B50" s="59" t="inlineStr">
        <is>
          <t>No formal rule management. Rules live in the SIEM with no version control, change tracking, or documentation.</t>
        </is>
      </c>
      <c r="C50" s="59" t="inlineStr">
        <is>
          <t>&lt;20% of rules under version control.</t>
        </is>
      </c>
    </row>
    <row r="51" ht="42" customHeight="1">
      <c r="A51" s="60" t="inlineStr">
        <is>
          <t>2 — Repeatable</t>
        </is>
      </c>
      <c r="B51" s="61" t="inlineStr">
        <is>
          <t>Some rules are stored in version control. Basic documentation exists for some detections but is incomplete.</t>
        </is>
      </c>
      <c r="C51" s="61" t="inlineStr">
        <is>
          <t>20-50% of rules in version control; basic documentation.</t>
        </is>
      </c>
    </row>
    <row r="52" ht="42" customHeight="1">
      <c r="A52" s="62" t="inlineStr">
        <is>
          <t>3 — Defined</t>
        </is>
      </c>
      <c r="B52" s="63" t="inlineStr">
        <is>
          <t>Most rules are managed in version control with documentation standards. A detection-as-code approach is being adopted.</t>
        </is>
      </c>
      <c r="C52" s="63" t="inlineStr">
        <is>
          <t>50-80% of rules in version control with documentation.</t>
        </is>
      </c>
    </row>
    <row r="53" ht="42" customHeight="1">
      <c r="A53" s="64" t="inlineStr">
        <is>
          <t>4 — Managed</t>
        </is>
      </c>
      <c r="B53" s="65" t="inlineStr">
        <is>
          <t>Detection-as-code is standard practice. CI/CD pipelines handle rule deployment. All rules are documented and version-controlled.</t>
        </is>
      </c>
      <c r="C53" s="65" t="inlineStr">
        <is>
          <t>80-90% of rules in DaC pipeline; automated deployment.</t>
        </is>
      </c>
    </row>
    <row r="54" ht="42" customHeight="1">
      <c r="A54" s="66" t="inlineStr">
        <is>
          <t>5 — Optimized</t>
        </is>
      </c>
      <c r="B54" s="67" t="inlineStr">
        <is>
          <t>Fully automated rule lifecycle with CI/CD, automated testing, continuous validation, and weekly maintenance cycles.</t>
        </is>
      </c>
      <c r="C54" s="67"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8" t="inlineStr">
        <is>
          <t>1 — Initial</t>
        </is>
      </c>
      <c r="B58" s="59" t="inlineStr">
        <is>
          <t>No active management of telemetry quality. Data sources are whatever happens to be available without assessment of completeness.</t>
        </is>
      </c>
      <c r="C58" s="59" t="inlineStr">
        <is>
          <t>&lt;30% of rule types have adequate telemetry producing expected data.</t>
        </is>
      </c>
    </row>
    <row r="59" ht="42" customHeight="1">
      <c r="A59" s="60" t="inlineStr">
        <is>
          <t>2 — Repeatable</t>
        </is>
      </c>
      <c r="B59" s="61" t="inlineStr">
        <is>
          <t>Some awareness of telemetry gaps. Basic checks ensure critical data sources are ingesting, but no formal quality program.</t>
        </is>
      </c>
      <c r="C59" s="61" t="inlineStr">
        <is>
          <t>30-50% of rule types have adequate telemetry; basic health checks.</t>
        </is>
      </c>
    </row>
    <row r="60" ht="42" customHeight="1">
      <c r="A60" s="62" t="inlineStr">
        <is>
          <t>3 — Defined</t>
        </is>
      </c>
      <c r="B60" s="63" t="inlineStr">
        <is>
          <t>Telemetry quality is actively monitored. Data source coverage is mapped to detection needs. CTI enrichment is being integrated.</t>
        </is>
      </c>
      <c r="C60" s="63" t="inlineStr">
        <is>
          <t>50-70% telemetry coverage; CTI integration beginning.</t>
        </is>
      </c>
    </row>
    <row r="61" ht="42" customHeight="1">
      <c r="A61" s="64" t="inlineStr">
        <is>
          <t>4 — Managed</t>
        </is>
      </c>
      <c r="B61" s="65" t="inlineStr">
        <is>
          <t>Comprehensive telemetry management with automated health monitoring, CTI enrichment, and proactive gap identification.</t>
        </is>
      </c>
      <c r="C61" s="65" t="inlineStr">
        <is>
          <t>70-90% telemetry coverage; automated health monitoring; CTI integrated.</t>
        </is>
      </c>
    </row>
    <row r="62" ht="42" customHeight="1">
      <c r="A62" s="66" t="inlineStr">
        <is>
          <t>5 — Optimized</t>
        </is>
      </c>
      <c r="B62" s="67" t="inlineStr">
        <is>
          <t>Advanced telemetry workflows with real-time enrichment, automated responses to telemetry degradation, and full CTI integration.</t>
        </is>
      </c>
      <c r="C62" s="67"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8" t="inlineStr">
        <is>
          <t>1 — Initial</t>
        </is>
      </c>
      <c r="B66" s="59" t="inlineStr">
        <is>
          <t>No regular review of the threat landscape. Detection priorities are not informed by current threats.</t>
        </is>
      </c>
      <c r="C66" s="59" t="inlineStr">
        <is>
          <t>No scheduled reviews; &lt;30% of rules aligned to current threats.</t>
        </is>
      </c>
    </row>
    <row r="67" ht="42" customHeight="1">
      <c r="A67" s="60" t="inlineStr">
        <is>
          <t>2 — Repeatable</t>
        </is>
      </c>
      <c r="B67" s="61" t="inlineStr">
        <is>
          <t>Bi-annual or annual reviews of the threat landscape. Some detection priorities are updated based on major threat changes.</t>
        </is>
      </c>
      <c r="C67" s="61" t="inlineStr">
        <is>
          <t>1-2 reviews per year; some rule updates based on findings.</t>
        </is>
      </c>
    </row>
    <row r="68" ht="42" customHeight="1">
      <c r="A68" s="62" t="inlineStr">
        <is>
          <t>3 — Defined</t>
        </is>
      </c>
      <c r="B68" s="63" t="inlineStr">
        <is>
          <t>Quarterly threat landscape reviews with documented findings. Detection roadmap is updated based on review outcomes.</t>
        </is>
      </c>
      <c r="C68" s="63" t="inlineStr">
        <is>
          <t>Quarterly reviews; 50-70% of rules reviewed against current threats.</t>
        </is>
      </c>
    </row>
    <row r="69" ht="42" customHeight="1">
      <c r="A69" s="64" t="inlineStr">
        <is>
          <t>4 — Managed</t>
        </is>
      </c>
      <c r="B69" s="65" t="inlineStr">
        <is>
          <t>Monthly threat landscape reviews integrated with threat intelligence. Detection priorities are continuously aligned with emerging threats.</t>
        </is>
      </c>
      <c r="C69" s="65" t="inlineStr">
        <is>
          <t>Monthly reviews; 70-90% rules aligned; automated intel integration.</t>
        </is>
      </c>
    </row>
    <row r="70" ht="42" customHeight="1">
      <c r="A70" s="66" t="inlineStr">
        <is>
          <t>5 — Optimized</t>
        </is>
      </c>
      <c r="B70" s="67" t="inlineStr">
        <is>
          <t>Real-time threat landscape monitoring with automated intelligence feeds driving detection priority updates.</t>
        </is>
      </c>
      <c r="C70" s="67"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8" t="inlineStr">
        <is>
          <t>1 — Initial</t>
        </is>
      </c>
      <c r="B74" s="59" t="inlineStr">
        <is>
          <t>No engagement between detection engineering and product/platform owners. Detection needs are not communicated to tool vendors or platform teams.</t>
        </is>
      </c>
      <c r="C74" s="59" t="inlineStr">
        <is>
          <t>Zero structured engagements with product owners.</t>
        </is>
      </c>
    </row>
    <row r="75" ht="42" customHeight="1">
      <c r="A75" s="60" t="inlineStr">
        <is>
          <t>2 — Repeatable</t>
        </is>
      </c>
      <c r="B75" s="61" t="inlineStr">
        <is>
          <t>Occasional ad hoc engagement with product owners, typically reactive to issues or gaps discovered during detection development.</t>
        </is>
      </c>
      <c r="C75" s="61" t="inlineStr">
        <is>
          <t>1-2 engagements per quarter; reactive only.</t>
        </is>
      </c>
    </row>
    <row r="76" ht="42" customHeight="1">
      <c r="A76" s="62" t="inlineStr">
        <is>
          <t>3 — Defined</t>
        </is>
      </c>
      <c r="B76" s="63" t="inlineStr">
        <is>
          <t>Regular engagement with product owners to communicate detection needs, request features, and provide feedback on platform capabilities.</t>
        </is>
      </c>
      <c r="C76" s="63" t="inlineStr">
        <is>
          <t>Quarterly structured engagements; feature requests tracked.</t>
        </is>
      </c>
    </row>
    <row r="77" ht="42" customHeight="1">
      <c r="A77" s="64" t="inlineStr">
        <is>
          <t>4 — Managed</t>
        </is>
      </c>
      <c r="B77" s="65" t="inlineStr">
        <is>
          <t>Proactive partnership with product owners. Detection requirements are integrated into product roadmaps. Regular feedback loops established.</t>
        </is>
      </c>
      <c r="C77" s="65" t="inlineStr">
        <is>
          <t>Monthly engagements; &gt;50% of feature requests on product roadmap.</t>
        </is>
      </c>
    </row>
    <row r="78" ht="42" customHeight="1">
      <c r="A78" s="66" t="inlineStr">
        <is>
          <t>5 — Optimized</t>
        </is>
      </c>
      <c r="B78" s="67" t="inlineStr">
        <is>
          <t>Continuous, proactive engagement. Detection needs directly influence product development. Joint planning and shared success metrics.</t>
        </is>
      </c>
      <c r="C78" s="67"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8" t="inlineStr">
        <is>
          <t>1 — Initial</t>
        </is>
      </c>
      <c r="B82" s="59" t="inlineStr">
        <is>
          <t>No formal testing before rule deployment. Rules are pushed to production without validation.</t>
        </is>
      </c>
      <c r="C82" s="59" t="inlineStr">
        <is>
          <t>&lt;20% of rules tested before deployment.</t>
        </is>
      </c>
    </row>
    <row r="83" ht="42" customHeight="1">
      <c r="A83" s="60" t="inlineStr">
        <is>
          <t>2 — Repeatable</t>
        </is>
      </c>
      <c r="B83" s="61" t="inlineStr">
        <is>
          <t>Basic manual testing on some rules before deployment. No standardized testing process or test environments.</t>
        </is>
      </c>
      <c r="C83" s="61" t="inlineStr">
        <is>
          <t>20-40% of rules tested; manual testing only.</t>
        </is>
      </c>
    </row>
    <row r="84" ht="42" customHeight="1">
      <c r="A84" s="62" t="inlineStr">
        <is>
          <t>3 — Defined</t>
        </is>
      </c>
      <c r="B84" s="63" t="inlineStr">
        <is>
          <t>Standardized testing process with defined test cases. Most rules are tested before deployment in a staging environment.</t>
        </is>
      </c>
      <c r="C84" s="63" t="inlineStr">
        <is>
          <t>50-70% of rules tested; staging environment available.</t>
        </is>
      </c>
    </row>
    <row r="85" ht="42" customHeight="1">
      <c r="A85" s="64" t="inlineStr">
        <is>
          <t>4 — Managed</t>
        </is>
      </c>
      <c r="B85" s="65" t="inlineStr">
        <is>
          <t>Comprehensive testing including unit tests, integration tests, and emulation-based validation. Rapid deployment capability for emerging threats.</t>
        </is>
      </c>
      <c r="C85" s="65" t="inlineStr">
        <is>
          <t>70-90% automated testing; 24-hour deployment capability for critical threats.</t>
        </is>
      </c>
    </row>
    <row r="86" ht="42" customHeight="1">
      <c r="A86" s="66" t="inlineStr">
        <is>
          <t>5 — Optimized</t>
        </is>
      </c>
      <c r="B86" s="67" t="inlineStr">
        <is>
          <t>Continuous, automated testing with real-time feedback. Full CI/CD pipeline with automated validation before every deployment.</t>
        </is>
      </c>
      <c r="C86" s="67" t="inlineStr">
        <is>
          <t>90-100% automated testing; continuous validation in CI/CD pipeline.</t>
        </is>
      </c>
    </row>
    <row r="88" ht="30" customHeight="1">
      <c r="A88" s="15" t="inlineStr">
        <is>
          <t xml:space="preserve">  Tier 2: Intermediate</t>
        </is>
      </c>
      <c r="B88" s="4" t="n"/>
      <c r="C88" s="4" t="n"/>
    </row>
    <row r="89" ht="36" customHeight="1">
      <c r="A89" s="57"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8" t="inlineStr">
        <is>
          <t>1 — Initial</t>
        </is>
      </c>
      <c r="B92" s="59" t="inlineStr">
        <is>
          <t>Minimal or no tuning of detection rules. High false positive rates accepted as normal, contributing to alert fatigue.</t>
        </is>
      </c>
      <c r="C92" s="59" t="inlineStr">
        <is>
          <t>No measurable FP reduction efforts.</t>
        </is>
      </c>
    </row>
    <row r="93" ht="42" customHeight="1">
      <c r="A93" s="60" t="inlineStr">
        <is>
          <t>2 — Repeatable</t>
        </is>
      </c>
      <c r="B93" s="61" t="inlineStr">
        <is>
          <t>Some tuning performed reactively when analysts complain. No systematic tracking of false positive rates.</t>
        </is>
      </c>
      <c r="C93" s="61" t="inlineStr">
        <is>
          <t>10-25% FP reduction from initial baseline; sporadic tuning.</t>
        </is>
      </c>
    </row>
    <row r="94" ht="42" customHeight="1">
      <c r="A94" s="62" t="inlineStr">
        <is>
          <t>3 — Defined</t>
        </is>
      </c>
      <c r="B94" s="63" t="inlineStr">
        <is>
          <t>Regular tuning cycles with tracked FP rates per rule. Tuning is documented and follows a defined process.</t>
        </is>
      </c>
      <c r="C94" s="63" t="inlineStr">
        <is>
          <t>25-50% FP reduction; quarterly tuning cycles; FP rates tracked per rule.</t>
        </is>
      </c>
    </row>
    <row r="95" ht="42" customHeight="1">
      <c r="A95" s="64" t="inlineStr">
        <is>
          <t>4 — Managed</t>
        </is>
      </c>
      <c r="B95" s="65" t="inlineStr">
        <is>
          <t>Comprehensive FP management with automated tuning suggestions, risk-based alert scoring, and continuous monitoring.</t>
        </is>
      </c>
      <c r="C95" s="65" t="inlineStr">
        <is>
          <t>&gt;50% FP reduction; automated tuning recommendations; risk-based scoring.</t>
        </is>
      </c>
    </row>
    <row r="96" ht="42" customHeight="1">
      <c r="A96" s="66" t="inlineStr">
        <is>
          <t>5 — Optimized</t>
        </is>
      </c>
      <c r="B96" s="67" t="inlineStr">
        <is>
          <t>Automated and dynamic tuning with machine learning. Near-zero unnecessary alert noise. Continuous optimization.</t>
        </is>
      </c>
      <c r="C96" s="67"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8" t="inlineStr">
        <is>
          <t>1 — Initial</t>
        </is>
      </c>
      <c r="B100" s="59" t="inlineStr">
        <is>
          <t>No gap analysis performed. Detection coverage gaps are unknown and undocumented.</t>
        </is>
      </c>
      <c r="C100" s="59" t="inlineStr">
        <is>
          <t>Zero gaps formally documented.</t>
        </is>
      </c>
    </row>
    <row r="101" ht="42" customHeight="1">
      <c r="A101" s="60" t="inlineStr">
        <is>
          <t>2 — Repeatable</t>
        </is>
      </c>
      <c r="B101" s="61" t="inlineStr">
        <is>
          <t>Some gaps identified informally, typically after incidents expose missing detections. Documentation is inconsistent.</t>
        </is>
      </c>
      <c r="C101" s="61" t="inlineStr">
        <is>
          <t>1-3 gaps documented; reactive identification only.</t>
        </is>
      </c>
    </row>
    <row r="102" ht="42" customHeight="1">
      <c r="A102" s="62" t="inlineStr">
        <is>
          <t>3 — Defined</t>
        </is>
      </c>
      <c r="B102" s="63" t="inlineStr">
        <is>
          <t>Regular gap analysis performed against ATT&amp;CK or similar frameworks. Gaps are documented, prioritized, and communicated to stakeholders.</t>
        </is>
      </c>
      <c r="C102" s="63" t="inlineStr">
        <is>
          <t>5+ gaps documented quarterly; prioritized against threat model.</t>
        </is>
      </c>
    </row>
    <row r="103" ht="42" customHeight="1">
      <c r="A103" s="64" t="inlineStr">
        <is>
          <t>4 — Managed</t>
        </is>
      </c>
      <c r="B103" s="65" t="inlineStr">
        <is>
          <t>Comprehensive gap analysis integrated with threat modeling and risk assessment. Gaps drive the detection roadmap.</t>
        </is>
      </c>
      <c r="C103" s="65" t="inlineStr">
        <is>
          <t>Continuous gap tracking; gaps integrated into roadmap; stakeholder reporting.</t>
        </is>
      </c>
    </row>
    <row r="104" ht="42" customHeight="1">
      <c r="A104" s="66" t="inlineStr">
        <is>
          <t>5 — Optimized</t>
        </is>
      </c>
      <c r="B104" s="67" t="inlineStr">
        <is>
          <t>Automated gap analysis using advanced analytics. Real-time coverage mapping with automated prioritization.</t>
        </is>
      </c>
      <c r="C104" s="67"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8" t="inlineStr">
        <is>
          <t>1 — Initial</t>
        </is>
      </c>
      <c r="B108" s="59" t="inlineStr">
        <is>
          <t>No internal testing of detection effectiveness. Rules are assumed to work once deployed.</t>
        </is>
      </c>
      <c r="C108" s="59" t="inlineStr">
        <is>
          <t>Zero internal testing activities.</t>
        </is>
      </c>
    </row>
    <row r="109" ht="42" customHeight="1">
      <c r="A109" s="60" t="inlineStr">
        <is>
          <t>2 — Repeatable</t>
        </is>
      </c>
      <c r="B109" s="61" t="inlineStr">
        <is>
          <t>Occasional manual testing of high-priority rules. Basic atomic tests run sporadically.</t>
        </is>
      </c>
      <c r="C109" s="61" t="inlineStr">
        <is>
          <t>&lt;40% emulation coverage; sporadic testing.</t>
        </is>
      </c>
    </row>
    <row r="110" ht="42" customHeight="1">
      <c r="A110" s="62" t="inlineStr">
        <is>
          <t>3 — Defined</t>
        </is>
      </c>
      <c r="B110" s="63" t="inlineStr">
        <is>
          <t>Regular testing program with attack emulation (e.g., Atomic Red Team, Caldera) covering major detection categories. Results documented and tracked.</t>
        </is>
      </c>
      <c r="C110" s="63" t="inlineStr">
        <is>
          <t>40-70% emulation coverage; at least quarterly testing cycles.</t>
        </is>
      </c>
    </row>
    <row r="111" ht="42" customHeight="1">
      <c r="A111" s="64" t="inlineStr">
        <is>
          <t>4 — Managed</t>
        </is>
      </c>
      <c r="B111" s="65" t="inlineStr">
        <is>
          <t>Comprehensive internal testing with automated attack emulation, purple team exercises, and continuous validation.</t>
        </is>
      </c>
      <c r="C111" s="65" t="inlineStr">
        <is>
          <t>70-90% automated emulation coverage; regular purple team exercises.</t>
        </is>
      </c>
    </row>
    <row r="112" ht="42" customHeight="1">
      <c r="A112" s="66" t="inlineStr">
        <is>
          <t>5 — Optimized</t>
        </is>
      </c>
      <c r="B112" s="67" t="inlineStr">
        <is>
          <t>Continuous automated testing with real-time validation. Full emulation coverage with automated regression testing on every rule change.</t>
        </is>
      </c>
      <c r="C112" s="67" t="inlineStr">
        <is>
          <t>&gt;90% automated coverage; continuous validation; automated regression on every change.</t>
        </is>
      </c>
    </row>
    <row r="114" ht="30" customHeight="1">
      <c r="A114" s="15" t="inlineStr">
        <is>
          <t xml:space="preserve">  Tier 3: Advanced</t>
        </is>
      </c>
      <c r="B114" s="4" t="n"/>
      <c r="C114" s="4" t="n"/>
    </row>
    <row r="115" ht="36" customHeight="1">
      <c r="A115" s="57"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8" t="inlineStr">
        <is>
          <t>1 — Initial</t>
        </is>
      </c>
      <c r="B118" s="59" t="inlineStr">
        <is>
          <t>No process for identifying or triaging false negatives. Missed detections are only discovered during incident response.</t>
        </is>
      </c>
      <c r="C118" s="59" t="inlineStr">
        <is>
          <t>Zero FN reduction activities.</t>
        </is>
      </c>
    </row>
    <row r="119" ht="42" customHeight="1">
      <c r="A119" s="60" t="inlineStr">
        <is>
          <t>2 — Repeatable</t>
        </is>
      </c>
      <c r="B119" s="61" t="inlineStr">
        <is>
          <t>Some false negatives identified through post-incident reviews. Basic tracking of missed detections.</t>
        </is>
      </c>
      <c r="C119" s="61" t="inlineStr">
        <is>
          <t>50% of tested samples trigger expected alerts.</t>
        </is>
      </c>
    </row>
    <row r="120" ht="42" customHeight="1">
      <c r="A120" s="62" t="inlineStr">
        <is>
          <t>3 — Defined</t>
        </is>
      </c>
      <c r="B120" s="63" t="inlineStr">
        <is>
          <t>Systematic false negative identification through regular testing and validation exercises. Root causes are analyzed and documented.</t>
        </is>
      </c>
      <c r="C120" s="63" t="inlineStr">
        <is>
          <t>70-90% of tested samples trigger alerts; root cause analysis documented; 30-50% FN reduction from baseline.</t>
        </is>
      </c>
    </row>
    <row r="121" ht="42" customHeight="1">
      <c r="A121" s="64" t="inlineStr">
        <is>
          <t>4 — Managed</t>
        </is>
      </c>
      <c r="B121" s="65" t="inlineStr">
        <is>
          <t>Comprehensive FN management with automated detection validation, coverage testing, and rapid remediation processes.</t>
        </is>
      </c>
      <c r="C121" s="65" t="inlineStr">
        <is>
          <t>90-100% of tested samples trigger alerts; automated validation; &gt;50% FN reduction.</t>
        </is>
      </c>
    </row>
    <row r="122" ht="42" customHeight="1">
      <c r="A122" s="66" t="inlineStr">
        <is>
          <t>5 — Optimized</t>
        </is>
      </c>
      <c r="B122" s="67" t="inlineStr">
        <is>
          <t>Continuous, automated false negative detection using advanced analytics and real-time validation against live threats.</t>
        </is>
      </c>
      <c r="C122" s="67"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8" t="inlineStr">
        <is>
          <t>1 — Initial</t>
        </is>
      </c>
      <c r="B126" s="59" t="inlineStr">
        <is>
          <t>No external validation of detection capabilities. No red team, penetration testing, or third-party assessment of detections.</t>
        </is>
      </c>
      <c r="C126" s="59" t="inlineStr">
        <is>
          <t>Zero external validation exercises.</t>
        </is>
      </c>
    </row>
    <row r="127" ht="42" customHeight="1">
      <c r="A127" s="60" t="inlineStr">
        <is>
          <t>2 — Repeatable</t>
        </is>
      </c>
      <c r="B127" s="61" t="inlineStr">
        <is>
          <t>Occasional external validation, typically annual penetration tests with some detection assessment included.</t>
        </is>
      </c>
      <c r="C127" s="61" t="inlineStr">
        <is>
          <t>1 external validation exercise per year.</t>
        </is>
      </c>
    </row>
    <row r="128" ht="42" customHeight="1">
      <c r="A128" s="62" t="inlineStr">
        <is>
          <t>3 — Defined</t>
        </is>
      </c>
      <c r="B128" s="63" t="inlineStr">
        <is>
          <t>Regular external validation through red team engagements or third-party assessments focused on detection effectiveness.</t>
        </is>
      </c>
      <c r="C128" s="63" t="inlineStr">
        <is>
          <t>&gt;1 external exercise per year; findings drive detection improvements.</t>
        </is>
      </c>
    </row>
    <row r="129" ht="42" customHeight="1">
      <c r="A129" s="64" t="inlineStr">
        <is>
          <t>4 — Managed</t>
        </is>
      </c>
      <c r="B129" s="65" t="inlineStr">
        <is>
          <t>Multiple external validation exercises annually including red team, purple team, and breach simulation. Systematic feedback integration.</t>
        </is>
      </c>
      <c r="C129" s="65" t="inlineStr">
        <is>
          <t>Multiple exercises per year; &gt;70% of findings remediated within 30 days.</t>
        </is>
      </c>
    </row>
    <row r="130" ht="42" customHeight="1">
      <c r="A130" s="66" t="inlineStr">
        <is>
          <t>5 — Optimized</t>
        </is>
      </c>
      <c r="B130" s="67" t="inlineStr">
        <is>
          <t>Continuous external validation with automated breach and attack simulation (BAS) tools and regular adversary emulation exercises.</t>
        </is>
      </c>
      <c r="C130" s="67"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8" t="inlineStr">
        <is>
          <t>1 — Initial</t>
        </is>
      </c>
      <c r="B134" s="59" t="inlineStr">
        <is>
          <t>No coverage of advanced TTPs. Detections focus only on known signatures and basic indicators.</t>
        </is>
      </c>
      <c r="C134" s="59" t="inlineStr">
        <is>
          <t>Zero advanced TTP detections.</t>
        </is>
      </c>
    </row>
    <row r="135" ht="42" customHeight="1">
      <c r="A135" s="60" t="inlineStr">
        <is>
          <t>2 — Repeatable</t>
        </is>
      </c>
      <c r="B135" s="61" t="inlineStr">
        <is>
          <t>Limited coverage of some advanced TTPs, typically 1-3 techniques beyond basic signature detection.</t>
        </is>
      </c>
      <c r="C135" s="61" t="inlineStr">
        <is>
          <t>1-3 advanced TTP detections (e.g., living-off-the-land, fileless).</t>
        </is>
      </c>
    </row>
    <row r="136" ht="42" customHeight="1">
      <c r="A136" s="62" t="inlineStr">
        <is>
          <t>3 — Defined</t>
        </is>
      </c>
      <c r="B136" s="63" t="inlineStr">
        <is>
          <t>Growing coverage of advanced TTPs informed by threat intelligence. Behavioral detections supplement signature-based rules.</t>
        </is>
      </c>
      <c r="C136" s="63" t="inlineStr">
        <is>
          <t>3-5 advanced TTP detections; behavioral detection capabilities.</t>
        </is>
      </c>
    </row>
    <row r="137" ht="42" customHeight="1">
      <c r="A137" s="64" t="inlineStr">
        <is>
          <t>4 — Managed</t>
        </is>
      </c>
      <c r="B137" s="65" t="inlineStr">
        <is>
          <t>Comprehensive advanced TTP coverage including sophisticated evasion techniques, novel attack chains, and emerging threats.</t>
        </is>
      </c>
      <c r="C137" s="65" t="inlineStr">
        <is>
          <t>5+ advanced TTP detections; coverage of evasion and novel techniques.</t>
        </is>
      </c>
    </row>
    <row r="138" ht="42" customHeight="1">
      <c r="A138" s="66" t="inlineStr">
        <is>
          <t>5 — Optimized</t>
        </is>
      </c>
      <c r="B138" s="67" t="inlineStr">
        <is>
          <t>Continuous, proactive advanced TTP coverage using AI/ML for anomaly detection and automated response to emerging TTPs.</t>
        </is>
      </c>
      <c r="C138" s="67" t="inlineStr">
        <is>
          <t>Real-time advanced TTP detection; AI/ML-assisted; automated emerging threat coverage.</t>
        </is>
      </c>
    </row>
    <row r="140" ht="30" customHeight="1">
      <c r="A140" s="15" t="inlineStr">
        <is>
          <t xml:space="preserve">  Tier 4: Expert</t>
        </is>
      </c>
      <c r="B140" s="4" t="n"/>
      <c r="C140" s="4" t="n"/>
    </row>
    <row r="141" ht="36" customHeight="1">
      <c r="A141" s="57"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8" t="inlineStr">
        <is>
          <t>1 — Initial</t>
        </is>
      </c>
      <c r="B144" s="59" t="inlineStr">
        <is>
          <t>No proactive threat hunting activities. All detection is passive through deployed rules.</t>
        </is>
      </c>
      <c r="C144" s="59" t="inlineStr">
        <is>
          <t>Zero hunting activities.</t>
        </is>
      </c>
    </row>
    <row r="145" ht="42" customHeight="1">
      <c r="A145" s="60" t="inlineStr">
        <is>
          <t>2 — Repeatable</t>
        </is>
      </c>
      <c r="B145" s="61" t="inlineStr">
        <is>
          <t>Occasional ad hoc hunting triggered by intelligence or incidents. Findings are not systematically converted to detections.</t>
        </is>
      </c>
      <c r="C145" s="61" t="inlineStr">
        <is>
          <t>Bi-weekly hunting activities; &lt;30% of findings converted to rules.</t>
        </is>
      </c>
    </row>
    <row r="146" ht="42" customHeight="1">
      <c r="A146" s="62" t="inlineStr">
        <is>
          <t>3 — Defined</t>
        </is>
      </c>
      <c r="B146" s="63" t="inlineStr">
        <is>
          <t>Regular structured hunting program with hypotheses driven by intelligence. Findings are documented and fed into detection development.</t>
        </is>
      </c>
      <c r="C146" s="63" t="inlineStr">
        <is>
          <t>Weekly hunting; 50-70% of findings integrated into detection rules.</t>
        </is>
      </c>
    </row>
    <row r="147" ht="42" customHeight="1">
      <c r="A147" s="64" t="inlineStr">
        <is>
          <t>4 — Managed</t>
        </is>
      </c>
      <c r="B147" s="65" t="inlineStr">
        <is>
          <t>Comprehensive hunting program with daily activities, advanced analytics, and systematic integration of findings into detections.</t>
        </is>
      </c>
      <c r="C147" s="65" t="inlineStr">
        <is>
          <t>Daily hunting; &gt;90% of findings integrated; advanced analytics used.</t>
        </is>
      </c>
    </row>
    <row r="148" ht="42" customHeight="1">
      <c r="A148" s="66" t="inlineStr">
        <is>
          <t>5 — Optimized</t>
        </is>
      </c>
      <c r="B148" s="67" t="inlineStr">
        <is>
          <t>Automated real-time hunting augmented by AI/ML. Hunting outputs automatically generate detection rule candidates.</t>
        </is>
      </c>
      <c r="C148" s="67"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8" t="inlineStr">
        <is>
          <t>1 — Initial</t>
        </is>
      </c>
      <c r="B152" s="59" t="inlineStr">
        <is>
          <t>No automation of detection engineering tasks. All processes are manual and time-consuming.</t>
        </is>
      </c>
      <c r="C152" s="59" t="inlineStr">
        <is>
          <t>Zero automation of detection engineering tasks.</t>
        </is>
      </c>
    </row>
    <row r="153" ht="42" customHeight="1">
      <c r="A153" s="60" t="inlineStr">
        <is>
          <t>2 — Repeatable</t>
        </is>
      </c>
      <c r="B153" s="61" t="inlineStr">
        <is>
          <t>Basic automation of some repetitive tasks (e.g., rule deployment scripts). Mostly manual processes remain.</t>
        </is>
      </c>
      <c r="C153" s="61" t="inlineStr">
        <is>
          <t>&lt;30% of routine tasks automated.</t>
        </is>
      </c>
    </row>
    <row r="154" ht="42" customHeight="1">
      <c r="A154" s="62" t="inlineStr">
        <is>
          <t>3 — Defined</t>
        </is>
      </c>
      <c r="B154" s="63" t="inlineStr">
        <is>
          <t>Significant automation of rule lifecycle tasks including testing, deployment, and basic tuning. AI-based quality checks on new rules. Continuous improvement processes defined.</t>
        </is>
      </c>
      <c r="C154" s="63" t="inlineStr">
        <is>
          <t>40-60% of tasks automated; AI quality checks on new rules; improvement metrics tracked.</t>
        </is>
      </c>
    </row>
    <row r="155" ht="42" customHeight="1">
      <c r="A155" s="64" t="inlineStr">
        <is>
          <t>4 — Managed</t>
        </is>
      </c>
      <c r="B155" s="65" t="inlineStr">
        <is>
          <t>Advanced automation covering most of the detection lifecycle. AI/LLM tools used for rule optimization and analysis.</t>
        </is>
      </c>
      <c r="C155" s="65" t="inlineStr">
        <is>
          <t>70-80% automated; AI/LLM tools in use for optimization.</t>
        </is>
      </c>
    </row>
    <row r="156" ht="42" customHeight="1">
      <c r="A156" s="66" t="inlineStr">
        <is>
          <t>5 — Optimized</t>
        </is>
      </c>
      <c r="B156" s="67" t="inlineStr">
        <is>
          <t>Full generative AI/LLM integration throughout the detection lifecycle. Automated rule generation, tuning, and retirement.</t>
        </is>
      </c>
      <c r="C156" s="67"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8"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8" t="inlineStr">
        <is>
          <t>1 — Initial</t>
        </is>
      </c>
      <c r="B164" s="59" t="inlineStr">
        <is>
          <t>No dedicated detection engineering roles. Detection work is done part-time by SOC analysts or other security staff as a side task.</t>
        </is>
      </c>
      <c r="C164" s="59" t="inlineStr">
        <is>
          <t>Zero dedicated detection engineering FTEs.</t>
        </is>
      </c>
    </row>
    <row r="165" ht="42" customHeight="1">
      <c r="A165" s="60" t="inlineStr">
        <is>
          <t>2 — Repeatable</t>
        </is>
      </c>
      <c r="B165" s="61" t="inlineStr">
        <is>
          <t>One or more staff have detection engineering as a partial responsibility. No formal team structure or career path.</t>
        </is>
      </c>
      <c r="C165" s="61" t="inlineStr">
        <is>
          <t>Part-time detection engineering; no dedicated team.</t>
        </is>
      </c>
    </row>
    <row r="166" ht="42" customHeight="1">
      <c r="A166" s="62" t="inlineStr">
        <is>
          <t>3 — Defined</t>
        </is>
      </c>
      <c r="B166" s="63" t="inlineStr">
        <is>
          <t>Dedicated detection engineering role(s) or team established. Clear responsibilities and basic career progression defined.</t>
        </is>
      </c>
      <c r="C166" s="63" t="inlineStr">
        <is>
          <t>At least 1 dedicated FTE; defined role and responsibilities.</t>
        </is>
      </c>
    </row>
    <row r="167" ht="42" customHeight="1">
      <c r="A167" s="64" t="inlineStr">
        <is>
          <t>4 — Managed</t>
        </is>
      </c>
      <c r="B167" s="65" t="inlineStr">
        <is>
          <t>Established detection engineering team with subject matter experts across key domains (host, network, cloud, application).</t>
        </is>
      </c>
      <c r="C167" s="65" t="inlineStr">
        <is>
          <t>Multi-person team with domain specialization; defined career ladder.</t>
        </is>
      </c>
    </row>
    <row r="168" ht="42" customHeight="1">
      <c r="A168" s="66" t="inlineStr">
        <is>
          <t>5 — Optimized</t>
        </is>
      </c>
      <c r="B168" s="67" t="inlineStr">
        <is>
          <t>Mature team with deep specialization, mentorship programs, and influence on organizational security strategy.</t>
        </is>
      </c>
      <c r="C168" s="67"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8" t="inlineStr">
        <is>
          <t>1 — Initial</t>
        </is>
      </c>
      <c r="B172" s="59" t="inlineStr">
        <is>
          <t>No formal training or skills development for detection engineering. Learning is self-directed with no organizational support.</t>
        </is>
      </c>
      <c r="C172" s="59" t="inlineStr">
        <is>
          <t>Zero training budget or programs for detection engineering.</t>
        </is>
      </c>
    </row>
    <row r="173" ht="42" customHeight="1">
      <c r="A173" s="60" t="inlineStr">
        <is>
          <t>2 — Repeatable</t>
        </is>
      </c>
      <c r="B173" s="61" t="inlineStr">
        <is>
          <t>Some ad hoc training available. Individuals may attend conferences or take courses, but there is no structured program.</t>
        </is>
      </c>
      <c r="C173" s="61" t="inlineStr">
        <is>
          <t>Occasional training; no structured development program.</t>
        </is>
      </c>
    </row>
    <row r="174" ht="42" customHeight="1">
      <c r="A174" s="62" t="inlineStr">
        <is>
          <t>3 — Defined</t>
        </is>
      </c>
      <c r="B174" s="63" t="inlineStr">
        <is>
          <t>Defined training program covering core detection engineering skills. Regular knowledge sharing sessions within the team.</t>
        </is>
      </c>
      <c r="C174" s="63" t="inlineStr">
        <is>
          <t>Annual training plan; regular knowledge sharing; defined skill requirements.</t>
        </is>
      </c>
    </row>
    <row r="175" ht="42" customHeight="1">
      <c r="A175" s="64" t="inlineStr">
        <is>
          <t>4 — Managed</t>
        </is>
      </c>
      <c r="B175" s="65" t="inlineStr">
        <is>
          <t>Comprehensive training covering advanced topics. Cross-training with related teams (IR, threat intel, engineering). Certifications supported.</t>
        </is>
      </c>
      <c r="C175" s="65" t="inlineStr">
        <is>
          <t>Advanced training program; cross-training; certification support.</t>
        </is>
      </c>
    </row>
    <row r="176" ht="42" customHeight="1">
      <c r="A176" s="66" t="inlineStr">
        <is>
          <t>5 — Optimized</t>
        </is>
      </c>
      <c r="B176" s="67" t="inlineStr">
        <is>
          <t>Continuous learning culture with advanced training, conference participation, community contribution, and internal research programs.</t>
        </is>
      </c>
      <c r="C176" s="67"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8" t="inlineStr">
        <is>
          <t>1 — Initial</t>
        </is>
      </c>
      <c r="B180" s="59" t="inlineStr">
        <is>
          <t>No executive awareness or sponsorship of detection engineering. The function is not recognized as a distinct capability.</t>
        </is>
      </c>
      <c r="C180" s="59" t="inlineStr">
        <is>
          <t>Zero executive engagement with detection engineering.</t>
        </is>
      </c>
    </row>
    <row r="181" ht="42" customHeight="1">
      <c r="A181" s="60" t="inlineStr">
        <is>
          <t>2 — Repeatable</t>
        </is>
      </c>
      <c r="B181" s="61" t="inlineStr">
        <is>
          <t>Some leadership awareness of detection engineering but no formal sponsorship or dedicated budget allocation.</t>
        </is>
      </c>
      <c r="C181" s="61" t="inlineStr">
        <is>
          <t>Informal awareness; no dedicated budget.</t>
        </is>
      </c>
    </row>
    <row r="182" ht="42" customHeight="1">
      <c r="A182" s="62" t="inlineStr">
        <is>
          <t>3 — Defined</t>
        </is>
      </c>
      <c r="B182" s="63" t="inlineStr">
        <is>
          <t>Executive sponsor identified. Detection engineering has a defined budget and is recognized as a distinct function.</t>
        </is>
      </c>
      <c r="C182" s="63" t="inlineStr">
        <is>
          <t>Dedicated budget; executive sponsor; function formally recognized.</t>
        </is>
      </c>
    </row>
    <row r="183" ht="42" customHeight="1">
      <c r="A183" s="64" t="inlineStr">
        <is>
          <t>4 — Managed</t>
        </is>
      </c>
      <c r="B183" s="65" t="inlineStr">
        <is>
          <t>Strong executive support with detection engineering metrics reported to leadership. Function influences security investment decisions.</t>
        </is>
      </c>
      <c r="C183" s="65" t="inlineStr">
        <is>
          <t>Regular executive reporting; metrics-driven investment decisions.</t>
        </is>
      </c>
    </row>
    <row r="184" ht="42" customHeight="1">
      <c r="A184" s="66" t="inlineStr">
        <is>
          <t>5 — Optimized</t>
        </is>
      </c>
      <c r="B184" s="67" t="inlineStr">
        <is>
          <t>Detection engineering is a strategic priority. Executive leadership actively champions the function and its value across the organization.</t>
        </is>
      </c>
      <c r="C184" s="67" t="inlineStr">
        <is>
          <t>Strategic priority; board-level visibility; cross-org influence.</t>
        </is>
      </c>
    </row>
    <row r="186" ht="30" customHeight="1">
      <c r="A186" s="33" t="inlineStr">
        <is>
          <t xml:space="preserve">  Process &amp; Governance</t>
        </is>
      </c>
      <c r="B186" s="34" t="n"/>
      <c r="C186" s="34" t="n"/>
    </row>
    <row r="187" ht="36" customHeight="1">
      <c r="A187" s="68"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8" t="inlineStr">
        <is>
          <t>1 — Initial</t>
        </is>
      </c>
      <c r="B190" s="59" t="inlineStr">
        <is>
          <t>No defined detection lifecycle. Detections are created and deployed without a structured workflow from request to retirement.</t>
        </is>
      </c>
      <c r="C190" s="59" t="inlineStr">
        <is>
          <t>No documented lifecycle process.</t>
        </is>
      </c>
    </row>
    <row r="191" ht="42" customHeight="1">
      <c r="A191" s="60" t="inlineStr">
        <is>
          <t>2 — Repeatable</t>
        </is>
      </c>
      <c r="B191" s="61" t="inlineStr">
        <is>
          <t>Basic lifecycle exists covering creation and deployment, but lacks formal stages for request, review, testing, or retirement.</t>
        </is>
      </c>
      <c r="C191" s="61" t="inlineStr">
        <is>
          <t>Partial lifecycle; 2-3 stages defined.</t>
        </is>
      </c>
    </row>
    <row r="192" ht="42" customHeight="1">
      <c r="A192" s="62" t="inlineStr">
        <is>
          <t>3 — Defined</t>
        </is>
      </c>
      <c r="B192" s="63" t="inlineStr">
        <is>
          <t>Full detection lifecycle defined covering request, development, review, testing, deployment, monitoring, and retirement.</t>
        </is>
      </c>
      <c r="C192" s="63" t="inlineStr">
        <is>
          <t>Full lifecycle documented; all stages defined and followed.</t>
        </is>
      </c>
    </row>
    <row r="193" ht="42" customHeight="1">
      <c r="A193" s="64" t="inlineStr">
        <is>
          <t>4 — Managed</t>
        </is>
      </c>
      <c r="B193" s="65" t="inlineStr">
        <is>
          <t>Lifecycle is enforced through tooling and automation. SLAs defined for each stage. Metrics tracked for cycle time and throughput.</t>
        </is>
      </c>
      <c r="C193" s="65" t="inlineStr">
        <is>
          <t>Automated lifecycle enforcement; SLAs defined; cycle time tracked.</t>
        </is>
      </c>
    </row>
    <row r="194" ht="42" customHeight="1">
      <c r="A194" s="66" t="inlineStr">
        <is>
          <t>5 — Optimized</t>
        </is>
      </c>
      <c r="B194" s="67" t="inlineStr">
        <is>
          <t>Optimized lifecycle with continuous improvement. Automated stage transitions, predictive analytics for rule retirement.</t>
        </is>
      </c>
      <c r="C194" s="67"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8" t="inlineStr">
        <is>
          <t>1 — Initial</t>
        </is>
      </c>
      <c r="B198" s="59" t="inlineStr">
        <is>
          <t>No metrics tracked for detection engineering performance. Success is anecdotal or unmeasured.</t>
        </is>
      </c>
      <c r="C198" s="59" t="inlineStr">
        <is>
          <t>Zero detection engineering KPIs defined or tracked.</t>
        </is>
      </c>
    </row>
    <row r="199" ht="42" customHeight="1">
      <c r="A199" s="60" t="inlineStr">
        <is>
          <t>2 — Repeatable</t>
        </is>
      </c>
      <c r="B199" s="61" t="inlineStr">
        <is>
          <t>Basic metrics tracked informally (e.g., number of rules, alert volume). No formal KPI program or dashboards.</t>
        </is>
      </c>
      <c r="C199" s="61" t="inlineStr">
        <is>
          <t>1-2 basic metrics tracked informally.</t>
        </is>
      </c>
    </row>
    <row r="200" ht="42" customHeight="1">
      <c r="A200" s="62" t="inlineStr">
        <is>
          <t>3 — Defined</t>
        </is>
      </c>
      <c r="B200" s="63" t="inlineStr">
        <is>
          <t>Defined KPIs covering key areas (coverage, quality, velocity). Regular reporting to stakeholders with dashboards.</t>
        </is>
      </c>
      <c r="C200" s="63" t="inlineStr">
        <is>
          <t>3-5 KPIs defined; quarterly reporting; dashboards available.</t>
        </is>
      </c>
    </row>
    <row r="201" ht="42" customHeight="1">
      <c r="A201" s="64" t="inlineStr">
        <is>
          <t>4 — Managed</t>
        </is>
      </c>
      <c r="B201" s="65" t="inlineStr">
        <is>
          <t>Comprehensive metrics program with automated collection, trending, and correlation. Metrics drive decision-making.</t>
        </is>
      </c>
      <c r="C201" s="65" t="inlineStr">
        <is>
          <t>5+ KPIs; automated collection; metrics-driven decisions.</t>
        </is>
      </c>
    </row>
    <row r="202" ht="42" customHeight="1">
      <c r="A202" s="66" t="inlineStr">
        <is>
          <t>5 — Optimized</t>
        </is>
      </c>
      <c r="B202" s="67" t="inlineStr">
        <is>
          <t>Advanced analytics on detection engineering performance. Predictive metrics, benchmarking, and continuous optimization based on data.</t>
        </is>
      </c>
      <c r="C202" s="67"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8" t="inlineStr">
        <is>
          <t>1 — Initial</t>
        </is>
      </c>
      <c r="B206" s="59" t="inlineStr">
        <is>
          <t>Detection engineering operates in isolation. No structured collaboration with incident response, threat intelligence, or engineering teams.</t>
        </is>
      </c>
      <c r="C206" s="59" t="inlineStr">
        <is>
          <t>Zero structured cross-team interactions.</t>
        </is>
      </c>
    </row>
    <row r="207" ht="42" customHeight="1">
      <c r="A207" s="60" t="inlineStr">
        <is>
          <t>2 — Repeatable</t>
        </is>
      </c>
      <c r="B207" s="61" t="inlineStr">
        <is>
          <t>Ad hoc collaboration with other teams, typically reactive to incidents or specific requests.</t>
        </is>
      </c>
      <c r="C207" s="61" t="inlineStr">
        <is>
          <t>Occasional reactive collaboration; no formal processes.</t>
        </is>
      </c>
    </row>
    <row r="208" ht="42" customHeight="1">
      <c r="A208" s="62" t="inlineStr">
        <is>
          <t>3 — Defined</t>
        </is>
      </c>
      <c r="B208" s="63" t="inlineStr">
        <is>
          <t>Regular collaboration with IR, threat intel, and engineering teams through defined channels and scheduled touchpoints.</t>
        </is>
      </c>
      <c r="C208" s="63" t="inlineStr">
        <is>
          <t>Regular scheduled touchpoints; defined collaboration channels.</t>
        </is>
      </c>
    </row>
    <row r="209" ht="42" customHeight="1">
      <c r="A209" s="64" t="inlineStr">
        <is>
          <t>4 — Managed</t>
        </is>
      </c>
      <c r="B209" s="65" t="inlineStr">
        <is>
          <t>Deep integration with related teams. Joint planning, shared objectives, and integrated workflows (e.g., threat intel feeds directly inform detection priorities).</t>
        </is>
      </c>
      <c r="C209" s="65" t="inlineStr">
        <is>
          <t>Joint planning sessions; shared objectives; integrated workflows.</t>
        </is>
      </c>
    </row>
    <row r="210" ht="42" customHeight="1">
      <c r="A210" s="66" t="inlineStr">
        <is>
          <t>5 — Optimized</t>
        </is>
      </c>
      <c r="B210" s="67" t="inlineStr">
        <is>
          <t>Seamless cross-functional collaboration. Detection engineering is embedded in security operations with automated information sharing.</t>
        </is>
      </c>
      <c r="C210" s="67"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9" t="inlineStr">
        <is>
          <t>SUMMARY</t>
        </is>
      </c>
      <c r="B1" s="69" t="n"/>
    </row>
    <row r="2">
      <c r="A2" s="70" t="inlineStr">
        <is>
          <t>Organization</t>
        </is>
      </c>
      <c r="B2" s="49">
        <f>Assessment!D4</f>
        <v/>
      </c>
    </row>
    <row r="3">
      <c r="A3" s="70" t="inlineStr">
        <is>
          <t>Assessor</t>
        </is>
      </c>
      <c r="B3" s="49">
        <f>Assessment!D5</f>
        <v/>
      </c>
    </row>
    <row r="4">
      <c r="A4" s="70" t="inlineStr">
        <is>
          <t>Date</t>
        </is>
      </c>
      <c r="B4" s="71">
        <f>Assessment!D7</f>
        <v/>
      </c>
    </row>
    <row r="5">
      <c r="A5" s="70" t="inlineStr">
        <is>
          <t>Overall Score</t>
        </is>
      </c>
      <c r="B5" s="72">
        <f>IF(COUNT(D17,D18,D19,D20,D21,D22,D23,D24,D25,D26,D27,D28,D29,D30,D31,D32,D33,D34,D35,D36,D37,D38,D39,D40)=0,"",ROUND(AVERAGE(D17,D18,D19,D20,D21,D22,D23,D24,D25,D26,D27,D28,D29,D30,D31,D32,D33,D34,D35,D36,D37,D38,D39,D40),2))</f>
        <v/>
      </c>
    </row>
    <row r="6">
      <c r="A6" s="70" t="inlineStr">
        <is>
          <t>Achieved Tier</t>
        </is>
      </c>
      <c r="B6" s="49">
        <f>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AND(ISNUMBER(D33),D33&gt;=3,ISNUMBER(D34),D34&gt;=3)),"Tier 4: Expert",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Tier 3: Advanced",IF(AND(AND(ISNUMBER(D17),D17&gt;=3,ISNUMBER(D18),D18&gt;=3,ISNUMBER(D19),D19&gt;=3,ISNUMBER(D20),D20&gt;=3),AND(ISNUMBER(D21),D21&gt;=3,ISNUMBER(D22),D22&gt;=3,ISNUMBER(D23),D23&gt;=3,ISNUMBER(D24),D24&gt;=3,ISNUMBER(D25),D25&gt;=3,ISNUMBER(D26),D26&gt;=3),AND(ISNUMBER(D27),D27&gt;=3,ISNUMBER(D28),D28&gt;=3,ISNUMBER(D29),D29&gt;=3)),"Tier 2: Intermediate",IF(AND(AND(ISNUMBER(D17),D17&gt;=3,ISNUMBER(D18),D18&gt;=3,ISNUMBER(D19),D19&gt;=3,ISNUMBER(D20),D20&gt;=3),AND(ISNUMBER(D21),D21&gt;=3,ISNUMBER(D22),D22&gt;=3,ISNUMBER(D23),D23&gt;=3,ISNUMBER(D24),D24&gt;=3,ISNUMBER(D25),D25&gt;=3,ISNUMBER(D26),D26&gt;=3)),"Tier 1: Basic",IF(AND(AND(ISNUMBER(D17),D17&gt;=3,ISNUMBER(D18),D18&gt;=3,ISNUMBER(D19),D19&gt;=3,ISNUMBER(D20),D20&gt;=3)),"Tier 0: Foundation","Below Foundation")))))</f>
        <v/>
      </c>
    </row>
    <row r="7">
      <c r="A7" s="70" t="inlineStr">
        <is>
          <t>Completion</t>
        </is>
      </c>
      <c r="B7" s="49">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9">
      <c r="A9" s="73" t="inlineStr">
        <is>
          <t>Tier</t>
        </is>
      </c>
      <c r="B9" s="73" t="inlineStr">
        <is>
          <t>Tier Name</t>
        </is>
      </c>
      <c r="C9" s="73" t="inlineStr">
        <is>
          <t>Score</t>
        </is>
      </c>
      <c r="D9" s="73" t="inlineStr">
        <is>
          <t>Level</t>
        </is>
      </c>
      <c r="E9" s="73" t="inlineStr">
        <is>
          <t>Status</t>
        </is>
      </c>
      <c r="F9" s="73" t="inlineStr">
        <is>
          <t>Progression</t>
        </is>
      </c>
    </row>
    <row r="10">
      <c r="A10" s="74" t="inlineStr">
        <is>
          <t>T0</t>
        </is>
      </c>
      <c r="B10" s="75" t="inlineStr">
        <is>
          <t>Foundation</t>
        </is>
      </c>
      <c r="C10" s="55">
        <f>IF(COUNT(D17,D18,D19,D20)=0,"",AVERAGE(D17,D18,D19,D20))</f>
        <v/>
      </c>
      <c r="D10" s="76">
        <f>IF(C10="","",IF(C10&gt;=4.5,"Optimized",IF(C10&gt;=3.5,"Managed",IF(C10&gt;=3.0,"Defined",IF(C10&gt;=2.0,"Repeatable","Initial")))))</f>
        <v/>
      </c>
      <c r="E10" s="76">
        <f>IF(C10="","",IF(C10&gt;=3,"✓ Pass","✗ Below Target"))</f>
        <v/>
      </c>
      <c r="F10" s="74">
        <f>IF(C10="","Not Started",IF(AND(AND(ISNUMBER(D17),D17&gt;=3,ISNUMBER(D18),D18&gt;=3,ISNUMBER(D19),D19&gt;=3,ISNUMBER(D20),D20&gt;=3)),"Complete",IF(TRUE,"Current","In Progress")))</f>
        <v/>
      </c>
    </row>
    <row r="11">
      <c r="A11" s="74" t="inlineStr">
        <is>
          <t>T1</t>
        </is>
      </c>
      <c r="B11" s="75" t="inlineStr">
        <is>
          <t>Basic</t>
        </is>
      </c>
      <c r="C11" s="55">
        <f>IF(COUNT(D21,D22,D23,D24,D25,D26)=0,"",AVERAGE(D21,D22,D23,D24,D25,D26))</f>
        <v/>
      </c>
      <c r="D11" s="76">
        <f>IF(C11="","",IF(C11&gt;=4.5,"Optimized",IF(C11&gt;=3.5,"Managed",IF(C11&gt;=3.0,"Defined",IF(C11&gt;=2.0,"Repeatable","Initial")))))</f>
        <v/>
      </c>
      <c r="E11" s="76">
        <f>IF(C11="","",IF(C11&gt;=3,"✓ Pass","✗ Below Target"))</f>
        <v/>
      </c>
      <c r="F11" s="74">
        <f>IF(C11="","Not Started",IF(AND(AND(ISNUMBER(D17),D17&gt;=3,ISNUMBER(D18),D18&gt;=3,ISNUMBER(D19),D19&gt;=3,ISNUMBER(D20),D20&gt;=3),AND(ISNUMBER(D21),D21&gt;=3,ISNUMBER(D22),D22&gt;=3,ISNUMBER(D23),D23&gt;=3,ISNUMBER(D24),D24&gt;=3,ISNUMBER(D25),D25&gt;=3,ISNUMBER(D26),D26&gt;=3)),"Complete",IF(AND(AND(ISNUMBER(D17),D17&gt;=3,ISNUMBER(D18),D18&gt;=3,ISNUMBER(D19),D19&gt;=3,ISNUMBER(D20),D20&gt;=3)),"Current","In Progress")))</f>
        <v/>
      </c>
    </row>
    <row r="12">
      <c r="A12" s="74" t="inlineStr">
        <is>
          <t>T2</t>
        </is>
      </c>
      <c r="B12" s="75" t="inlineStr">
        <is>
          <t>Intermediate</t>
        </is>
      </c>
      <c r="C12" s="55">
        <f>IF(COUNT(D27,D28,D29)=0,"",AVERAGE(D27,D28,D29))</f>
        <v/>
      </c>
      <c r="D12" s="76">
        <f>IF(C12="","",IF(C12&gt;=4.5,"Optimized",IF(C12&gt;=3.5,"Managed",IF(C12&gt;=3.0,"Defined",IF(C12&gt;=2.0,"Repeatable","Initial")))))</f>
        <v/>
      </c>
      <c r="E12" s="76">
        <f>IF(C12="","",IF(C12&gt;=3,"✓ Pass","✗ Below Target"))</f>
        <v/>
      </c>
      <c r="F12" s="74">
        <f>IF(C12="","Not Started",IF(AND(AND(ISNUMBER(D17),D17&gt;=3,ISNUMBER(D18),D18&gt;=3,ISNUMBER(D19),D19&gt;=3,ISNUMBER(D20),D20&gt;=3),AND(ISNUMBER(D21),D21&gt;=3,ISNUMBER(D22),D22&gt;=3,ISNUMBER(D23),D23&gt;=3,ISNUMBER(D24),D24&gt;=3,ISNUMBER(D25),D25&gt;=3,ISNUMBER(D26),D26&gt;=3),AND(ISNUMBER(D27),D27&gt;=3,ISNUMBER(D28),D28&gt;=3,ISNUMBER(D29),D29&gt;=3)),"Complete",IF(AND(AND(ISNUMBER(D17),D17&gt;=3,ISNUMBER(D18),D18&gt;=3,ISNUMBER(D19),D19&gt;=3,ISNUMBER(D20),D20&gt;=3),AND(ISNUMBER(D21),D21&gt;=3,ISNUMBER(D22),D22&gt;=3,ISNUMBER(D23),D23&gt;=3,ISNUMBER(D24),D24&gt;=3,ISNUMBER(D25),D25&gt;=3,ISNUMBER(D26),D26&gt;=3)),"Current","In Progress")))</f>
        <v/>
      </c>
    </row>
    <row r="13">
      <c r="A13" s="74" t="inlineStr">
        <is>
          <t>T3</t>
        </is>
      </c>
      <c r="B13" s="75" t="inlineStr">
        <is>
          <t>Advanced</t>
        </is>
      </c>
      <c r="C13" s="55">
        <f>IF(COUNT(D30,D31,D32)=0,"",AVERAGE(D30,D31,D32))</f>
        <v/>
      </c>
      <c r="D13" s="76">
        <f>IF(C13="","",IF(C13&gt;=4.5,"Optimized",IF(C13&gt;=3.5,"Managed",IF(C13&gt;=3.0,"Defined",IF(C13&gt;=2.0,"Repeatable","Initial")))))</f>
        <v/>
      </c>
      <c r="E13" s="76">
        <f>IF(C13="","",IF(C13&gt;=3,"✓ Pass","✗ Below Target"))</f>
        <v/>
      </c>
      <c r="F13" s="74">
        <f>IF(C13="","Not Started",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Complete",IF(AND(AND(ISNUMBER(D17),D17&gt;=3,ISNUMBER(D18),D18&gt;=3,ISNUMBER(D19),D19&gt;=3,ISNUMBER(D20),D20&gt;=3),AND(ISNUMBER(D21),D21&gt;=3,ISNUMBER(D22),D22&gt;=3,ISNUMBER(D23),D23&gt;=3,ISNUMBER(D24),D24&gt;=3,ISNUMBER(D25),D25&gt;=3,ISNUMBER(D26),D26&gt;=3),AND(ISNUMBER(D27),D27&gt;=3,ISNUMBER(D28),D28&gt;=3,ISNUMBER(D29),D29&gt;=3)),"Current","In Progress")))</f>
        <v/>
      </c>
    </row>
    <row r="14">
      <c r="A14" s="74" t="inlineStr">
        <is>
          <t>T4</t>
        </is>
      </c>
      <c r="B14" s="75" t="inlineStr">
        <is>
          <t>Expert</t>
        </is>
      </c>
      <c r="C14" s="55">
        <f>IF(COUNT(D33,D34)=0,"",AVERAGE(D33,D34))</f>
        <v/>
      </c>
      <c r="D14" s="76">
        <f>IF(C14="","",IF(C14&gt;=4.5,"Optimized",IF(C14&gt;=3.5,"Managed",IF(C14&gt;=3.0,"Defined",IF(C14&gt;=2.0,"Repeatable","Initial")))))</f>
        <v/>
      </c>
      <c r="E14" s="76">
        <f>IF(C14="","",IF(C14&gt;=3,"✓ Pass","✗ Below Target"))</f>
        <v/>
      </c>
      <c r="F14" s="74">
        <f>IF(C14="","Not Started",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AND(ISNUMBER(D33),D33&gt;=3,ISNUMBER(D34),D34&gt;=3)),"Complete",IF(AND(AND(ISNUMBER(D17),D17&gt;=3,ISNUMBER(D18),D18&gt;=3,ISNUMBER(D19),D19&gt;=3,ISNUMBER(D20),D20&gt;=3),AND(ISNUMBER(D21),D21&gt;=3,ISNUMBER(D22),D22&gt;=3,ISNUMBER(D23),D23&gt;=3,ISNUMBER(D24),D24&gt;=3,ISNUMBER(D25),D25&gt;=3,ISNUMBER(D26),D26&gt;=3),AND(ISNUMBER(D27),D27&gt;=3,ISNUMBER(D28),D28&gt;=3,ISNUMBER(D29),D29&gt;=3),AND(ISNUMBER(D30),D30&gt;=3,ISNUMBER(D31),D31&gt;=3,ISNUMBER(D32),D32&gt;=3)),"Current","In Progress")))</f>
        <v/>
      </c>
    </row>
    <row r="16">
      <c r="A16" s="14" t="inlineStr">
        <is>
          <t>Section</t>
        </is>
      </c>
      <c r="B16" s="14" t="inlineStr">
        <is>
          <t>Category</t>
        </is>
      </c>
      <c r="C16" s="14" t="inlineStr">
        <is>
          <t>Criterion</t>
        </is>
      </c>
      <c r="D16" s="14" t="inlineStr">
        <is>
          <t>Score</t>
        </is>
      </c>
      <c r="E16" s="14" t="inlineStr">
        <is>
          <t>Level</t>
        </is>
      </c>
      <c r="F16" s="14" t="inlineStr">
        <is>
          <t>Status</t>
        </is>
      </c>
    </row>
    <row r="17">
      <c r="A17" s="49" t="inlineStr">
        <is>
          <t>DEBMM Core</t>
        </is>
      </c>
      <c r="B17" s="49" t="inlineStr">
        <is>
          <t>Foundation</t>
        </is>
      </c>
      <c r="C17" s="70" t="inlineStr">
        <is>
          <t>Structured Rule Development Approach</t>
        </is>
      </c>
      <c r="D17" s="50">
        <f>IF(COUNT(Assessment!F15,Assessment!F16)=0,"",AVERAGE(Assessment!F15,Assessment!F16))</f>
        <v/>
      </c>
      <c r="E17" s="51">
        <f>IF(D17="","",IF(D17&gt;=4.5,"Optimized",IF(D17&gt;=3.5,"Managed",IF(D17&gt;=3.0,"Defined",IF(D17&gt;=2.0,"Repeatable","Initial")))))</f>
        <v/>
      </c>
      <c r="F17" s="51">
        <f>IF(D17="","",IF(D17&gt;=3,"✓ Pass","✗ Below Target"))</f>
        <v/>
      </c>
    </row>
    <row r="18">
      <c r="A18" s="49" t="inlineStr">
        <is>
          <t>DEBMM Core</t>
        </is>
      </c>
      <c r="B18" s="49" t="inlineStr">
        <is>
          <t>Foundation</t>
        </is>
      </c>
      <c r="C18" s="70" t="inlineStr">
        <is>
          <t>Rule Creation and Maintenance</t>
        </is>
      </c>
      <c r="D18" s="50">
        <f>IF(COUNT(Assessment!F17)=0,"",AVERAGE(Assessment!F17))</f>
        <v/>
      </c>
      <c r="E18" s="51">
        <f>IF(D18="","",IF(D18&gt;=4.5,"Optimized",IF(D18&gt;=3.5,"Managed",IF(D18&gt;=3.0,"Defined",IF(D18&gt;=2.0,"Repeatable","Initial")))))</f>
        <v/>
      </c>
      <c r="F18" s="51">
        <f>IF(D18="","",IF(D18&gt;=3,"✓ Pass","✗ Below Target"))</f>
        <v/>
      </c>
    </row>
    <row r="19">
      <c r="A19" s="49" t="inlineStr">
        <is>
          <t>DEBMM Core</t>
        </is>
      </c>
      <c r="B19" s="49" t="inlineStr">
        <is>
          <t>Foundation</t>
        </is>
      </c>
      <c r="C19" s="70" t="inlineStr">
        <is>
          <t>Roadmap Documentation</t>
        </is>
      </c>
      <c r="D19" s="50">
        <f>IF(COUNT(Assessment!F18)=0,"",AVERAGE(Assessment!F18))</f>
        <v/>
      </c>
      <c r="E19" s="51">
        <f>IF(D19="","",IF(D19&gt;=4.5,"Optimized",IF(D19&gt;=3.5,"Managed",IF(D19&gt;=3.0,"Defined",IF(D19&gt;=2.0,"Repeatable","Initial")))))</f>
        <v/>
      </c>
      <c r="F19" s="51">
        <f>IF(D19="","",IF(D19&gt;=3,"✓ Pass","✗ Below Target"))</f>
        <v/>
      </c>
    </row>
    <row r="20">
      <c r="A20" s="49" t="inlineStr">
        <is>
          <t>DEBMM Core</t>
        </is>
      </c>
      <c r="B20" s="49" t="inlineStr">
        <is>
          <t>Foundation</t>
        </is>
      </c>
      <c r="C20" s="70" t="inlineStr">
        <is>
          <t>Threat Modeling</t>
        </is>
      </c>
      <c r="D20" s="50">
        <f>IF(COUNT(Assessment!F19,Assessment!F20,Assessment!F21,Assessment!F22)=0,"",AVERAGE(Assessment!F19,Assessment!F20,Assessment!F21,Assessment!F22))</f>
        <v/>
      </c>
      <c r="E20" s="51">
        <f>IF(D20="","",IF(D20&gt;=4.5,"Optimized",IF(D20&gt;=3.5,"Managed",IF(D20&gt;=3.0,"Defined",IF(D20&gt;=2.0,"Repeatable","Initial")))))</f>
        <v/>
      </c>
      <c r="F20" s="51">
        <f>IF(D20="","",IF(D20&gt;=3,"✓ Pass","✗ Below Target"))</f>
        <v/>
      </c>
    </row>
    <row r="21">
      <c r="A21" s="49" t="inlineStr">
        <is>
          <t>DEBMM Core</t>
        </is>
      </c>
      <c r="B21" s="49" t="inlineStr">
        <is>
          <t>Basic</t>
        </is>
      </c>
      <c r="C21" s="70" t="inlineStr">
        <is>
          <t>Baseline Rule Creation</t>
        </is>
      </c>
      <c r="D21" s="50">
        <f>IF(COUNT(Assessment!F25,Assessment!F26)=0,"",AVERAGE(Assessment!F25,Assessment!F26))</f>
        <v/>
      </c>
      <c r="E21" s="51">
        <f>IF(D21="","",IF(D21&gt;=4.5,"Optimized",IF(D21&gt;=3.5,"Managed",IF(D21&gt;=3.0,"Defined",IF(D21&gt;=2.0,"Repeatable","Initial")))))</f>
        <v/>
      </c>
      <c r="F21" s="51">
        <f>IF(D21="","",IF(D21&gt;=3,"✓ Pass","✗ Below Target"))</f>
        <v/>
      </c>
    </row>
    <row r="22">
      <c r="A22" s="49" t="inlineStr">
        <is>
          <t>DEBMM Core</t>
        </is>
      </c>
      <c r="B22" s="49" t="inlineStr">
        <is>
          <t>Basic</t>
        </is>
      </c>
      <c r="C22" s="70" t="inlineStr">
        <is>
          <t>Ruleset Management and Maintenance</t>
        </is>
      </c>
      <c r="D22" s="50">
        <f>IF(COUNT(Assessment!F27)=0,"",AVERAGE(Assessment!F27))</f>
        <v/>
      </c>
      <c r="E22" s="51">
        <f>IF(D22="","",IF(D22&gt;=4.5,"Optimized",IF(D22&gt;=3.5,"Managed",IF(D22&gt;=3.0,"Defined",IF(D22&gt;=2.0,"Repeatable","Initial")))))</f>
        <v/>
      </c>
      <c r="F22" s="51">
        <f>IF(D22="","",IF(D22&gt;=3,"✓ Pass","✗ Below Target"))</f>
        <v/>
      </c>
    </row>
    <row r="23">
      <c r="A23" s="49" t="inlineStr">
        <is>
          <t>DEBMM Core</t>
        </is>
      </c>
      <c r="B23" s="49" t="inlineStr">
        <is>
          <t>Basic</t>
        </is>
      </c>
      <c r="C23" s="70" t="inlineStr">
        <is>
          <t>Telemetry Quality</t>
        </is>
      </c>
      <c r="D23" s="50">
        <f>IF(COUNT(Assessment!F28,Assessment!F29,Assessment!F30)=0,"",AVERAGE(Assessment!F28,Assessment!F29,Assessment!F30))</f>
        <v/>
      </c>
      <c r="E23" s="51">
        <f>IF(D23="","",IF(D23&gt;=4.5,"Optimized",IF(D23&gt;=3.5,"Managed",IF(D23&gt;=3.0,"Defined",IF(D23&gt;=2.0,"Repeatable","Initial")))))</f>
        <v/>
      </c>
      <c r="F23" s="51">
        <f>IF(D23="","",IF(D23&gt;=3,"✓ Pass","✗ Below Target"))</f>
        <v/>
      </c>
    </row>
    <row r="24">
      <c r="A24" s="49" t="inlineStr">
        <is>
          <t>DEBMM Core</t>
        </is>
      </c>
      <c r="B24" s="49" t="inlineStr">
        <is>
          <t>Basic</t>
        </is>
      </c>
      <c r="C24" s="70" t="inlineStr">
        <is>
          <t>Threat Landscape Review</t>
        </is>
      </c>
      <c r="D24" s="50">
        <f>IF(COUNT(Assessment!F31)=0,"",AVERAGE(Assessment!F31))</f>
        <v/>
      </c>
      <c r="E24" s="51">
        <f>IF(D24="","",IF(D24&gt;=4.5,"Optimized",IF(D24&gt;=3.5,"Managed",IF(D24&gt;=3.0,"Defined",IF(D24&gt;=2.0,"Repeatable","Initial")))))</f>
        <v/>
      </c>
      <c r="F24" s="51">
        <f>IF(D24="","",IF(D24&gt;=3,"✓ Pass","✗ Below Target"))</f>
        <v/>
      </c>
    </row>
    <row r="25">
      <c r="A25" s="49" t="inlineStr">
        <is>
          <t>DEBMM Core</t>
        </is>
      </c>
      <c r="B25" s="49" t="inlineStr">
        <is>
          <t>Basic</t>
        </is>
      </c>
      <c r="C25" s="70" t="inlineStr">
        <is>
          <t>Product Owner Engagement</t>
        </is>
      </c>
      <c r="D25" s="50">
        <f>IF(COUNT(Assessment!F32)=0,"",AVERAGE(Assessment!F32))</f>
        <v/>
      </c>
      <c r="E25" s="51">
        <f>IF(D25="","",IF(D25&gt;=4.5,"Optimized",IF(D25&gt;=3.5,"Managed",IF(D25&gt;=3.0,"Defined",IF(D25&gt;=2.0,"Repeatable","Initial")))))</f>
        <v/>
      </c>
      <c r="F25" s="51">
        <f>IF(D25="","",IF(D25&gt;=3,"✓ Pass","✗ Below Target"))</f>
        <v/>
      </c>
    </row>
    <row r="26">
      <c r="A26" s="49" t="inlineStr">
        <is>
          <t>DEBMM Core</t>
        </is>
      </c>
      <c r="B26" s="49" t="inlineStr">
        <is>
          <t>Basic</t>
        </is>
      </c>
      <c r="C26" s="70" t="inlineStr">
        <is>
          <t>Release Testing and Validation</t>
        </is>
      </c>
      <c r="D26" s="50">
        <f>IF(COUNT(Assessment!F33)=0,"",AVERAGE(Assessment!F33))</f>
        <v/>
      </c>
      <c r="E26" s="51">
        <f>IF(D26="","",IF(D26&gt;=4.5,"Optimized",IF(D26&gt;=3.5,"Managed",IF(D26&gt;=3.0,"Defined",IF(D26&gt;=2.0,"Repeatable","Initial")))))</f>
        <v/>
      </c>
      <c r="F26" s="51">
        <f>IF(D26="","",IF(D26&gt;=3,"✓ Pass","✗ Below Target"))</f>
        <v/>
      </c>
    </row>
    <row r="27">
      <c r="A27" s="49" t="inlineStr">
        <is>
          <t>DEBMM Core</t>
        </is>
      </c>
      <c r="B27" s="49" t="inlineStr">
        <is>
          <t>Intermediate</t>
        </is>
      </c>
      <c r="C27" s="70" t="inlineStr">
        <is>
          <t>False Positive Tuning and Reduction</t>
        </is>
      </c>
      <c r="D27" s="50">
        <f>IF(COUNT(Assessment!F36,Assessment!F37)=0,"",AVERAGE(Assessment!F36,Assessment!F37))</f>
        <v/>
      </c>
      <c r="E27" s="51">
        <f>IF(D27="","",IF(D27&gt;=4.5,"Optimized",IF(D27&gt;=3.5,"Managed",IF(D27&gt;=3.0,"Defined",IF(D27&gt;=2.0,"Repeatable","Initial")))))</f>
        <v/>
      </c>
      <c r="F27" s="51">
        <f>IF(D27="","",IF(D27&gt;=3,"✓ Pass","✗ Below Target"))</f>
        <v/>
      </c>
    </row>
    <row r="28">
      <c r="A28" s="49" t="inlineStr">
        <is>
          <t>DEBMM Core</t>
        </is>
      </c>
      <c r="B28" s="49" t="inlineStr">
        <is>
          <t>Intermediate</t>
        </is>
      </c>
      <c r="C28" s="70" t="inlineStr">
        <is>
          <t>Gap Analysis and Documentation</t>
        </is>
      </c>
      <c r="D28" s="50">
        <f>IF(COUNT(Assessment!F38,Assessment!F39,Assessment!F40,Assessment!F41)=0,"",AVERAGE(Assessment!F38,Assessment!F39,Assessment!F40,Assessment!F41))</f>
        <v/>
      </c>
      <c r="E28" s="51">
        <f>IF(D28="","",IF(D28&gt;=4.5,"Optimized",IF(D28&gt;=3.5,"Managed",IF(D28&gt;=3.0,"Defined",IF(D28&gt;=2.0,"Repeatable","Initial")))))</f>
        <v/>
      </c>
      <c r="F28" s="51">
        <f>IF(D28="","",IF(D28&gt;=3,"✓ Pass","✗ Below Target"))</f>
        <v/>
      </c>
    </row>
    <row r="29">
      <c r="A29" s="49" t="inlineStr">
        <is>
          <t>DEBMM Core</t>
        </is>
      </c>
      <c r="B29" s="49" t="inlineStr">
        <is>
          <t>Intermediate</t>
        </is>
      </c>
      <c r="C29" s="70" t="inlineStr">
        <is>
          <t>Internal Testing and Validation</t>
        </is>
      </c>
      <c r="D29" s="50">
        <f>IF(COUNT(Assessment!F42)=0,"",AVERAGE(Assessment!F42))</f>
        <v/>
      </c>
      <c r="E29" s="51">
        <f>IF(D29="","",IF(D29&gt;=4.5,"Optimized",IF(D29&gt;=3.5,"Managed",IF(D29&gt;=3.0,"Defined",IF(D29&gt;=2.0,"Repeatable","Initial")))))</f>
        <v/>
      </c>
      <c r="F29" s="51">
        <f>IF(D29="","",IF(D29&gt;=3,"✓ Pass","✗ Below Target"))</f>
        <v/>
      </c>
    </row>
    <row r="30">
      <c r="A30" s="49" t="inlineStr">
        <is>
          <t>DEBMM Core</t>
        </is>
      </c>
      <c r="B30" s="49" t="inlineStr">
        <is>
          <t>Advanced</t>
        </is>
      </c>
      <c r="C30" s="70" t="inlineStr">
        <is>
          <t>False Negative Triage</t>
        </is>
      </c>
      <c r="D30" s="50">
        <f>IF(COUNT(Assessment!F45,Assessment!F46)=0,"",AVERAGE(Assessment!F45,Assessment!F46))</f>
        <v/>
      </c>
      <c r="E30" s="51">
        <f>IF(D30="","",IF(D30&gt;=4.5,"Optimized",IF(D30&gt;=3.5,"Managed",IF(D30&gt;=3.0,"Defined",IF(D30&gt;=2.0,"Repeatable","Initial")))))</f>
        <v/>
      </c>
      <c r="F30" s="51">
        <f>IF(D30="","",IF(D30&gt;=3,"✓ Pass","✗ Below Target"))</f>
        <v/>
      </c>
    </row>
    <row r="31">
      <c r="A31" s="49" t="inlineStr">
        <is>
          <t>DEBMM Core</t>
        </is>
      </c>
      <c r="B31" s="49" t="inlineStr">
        <is>
          <t>Advanced</t>
        </is>
      </c>
      <c r="C31" s="70" t="inlineStr">
        <is>
          <t>External Validation</t>
        </is>
      </c>
      <c r="D31" s="50">
        <f>IF(COUNT(Assessment!F47)=0,"",AVERAGE(Assessment!F47))</f>
        <v/>
      </c>
      <c r="E31" s="51">
        <f>IF(D31="","",IF(D31&gt;=4.5,"Optimized",IF(D31&gt;=3.5,"Managed",IF(D31&gt;=3.0,"Defined",IF(D31&gt;=2.0,"Repeatable","Initial")))))</f>
        <v/>
      </c>
      <c r="F31" s="51">
        <f>IF(D31="","",IF(D31&gt;=3,"✓ Pass","✗ Below Target"))</f>
        <v/>
      </c>
    </row>
    <row r="32">
      <c r="A32" s="49" t="inlineStr">
        <is>
          <t>DEBMM Core</t>
        </is>
      </c>
      <c r="B32" s="49" t="inlineStr">
        <is>
          <t>Advanced</t>
        </is>
      </c>
      <c r="C32" s="70" t="inlineStr">
        <is>
          <t>Advanced TTP Coverage</t>
        </is>
      </c>
      <c r="D32" s="50">
        <f>IF(COUNT(Assessment!F48,Assessment!F49)=0,"",AVERAGE(Assessment!F48,Assessment!F49))</f>
        <v/>
      </c>
      <c r="E32" s="51">
        <f>IF(D32="","",IF(D32&gt;=4.5,"Optimized",IF(D32&gt;=3.5,"Managed",IF(D32&gt;=3.0,"Defined",IF(D32&gt;=2.0,"Repeatable","Initial")))))</f>
        <v/>
      </c>
      <c r="F32" s="51">
        <f>IF(D32="","",IF(D32&gt;=3,"✓ Pass","✗ Below Target"))</f>
        <v/>
      </c>
    </row>
    <row r="33">
      <c r="A33" s="49" t="inlineStr">
        <is>
          <t>DEBMM Core</t>
        </is>
      </c>
      <c r="B33" s="49" t="inlineStr">
        <is>
          <t>Expert</t>
        </is>
      </c>
      <c r="C33" s="70" t="inlineStr">
        <is>
          <t>Threat Hunting in Telemetry</t>
        </is>
      </c>
      <c r="D33" s="50">
        <f>IF(COUNT(Assessment!F52,Assessment!F53,Assessment!F54)=0,"",AVERAGE(Assessment!F52,Assessment!F53,Assessment!F54))</f>
        <v/>
      </c>
      <c r="E33" s="51">
        <f>IF(D33="","",IF(D33&gt;=4.5,"Optimized",IF(D33&gt;=3.5,"Managed",IF(D33&gt;=3.0,"Defined",IF(D33&gt;=2.0,"Repeatable","Initial")))))</f>
        <v/>
      </c>
      <c r="F33" s="51">
        <f>IF(D33="","",IF(D33&gt;=3,"✓ Pass","✗ Below Target"))</f>
        <v/>
      </c>
    </row>
    <row r="34">
      <c r="A34" s="49" t="inlineStr">
        <is>
          <t>DEBMM Core</t>
        </is>
      </c>
      <c r="B34" s="49" t="inlineStr">
        <is>
          <t>Expert</t>
        </is>
      </c>
      <c r="C34" s="70" t="inlineStr">
        <is>
          <t>Automation and Continuous Improvement</t>
        </is>
      </c>
      <c r="D34" s="50">
        <f>IF(COUNT(Assessment!F55,Assessment!F56,Assessment!F57)=0,"",AVERAGE(Assessment!F55,Assessment!F56,Assessment!F57))</f>
        <v/>
      </c>
      <c r="E34" s="51">
        <f>IF(D34="","",IF(D34&gt;=4.5,"Optimized",IF(D34&gt;=3.5,"Managed",IF(D34&gt;=3.0,"Defined",IF(D34&gt;=2.0,"Repeatable","Initial")))))</f>
        <v/>
      </c>
      <c r="F34" s="51">
        <f>IF(D34="","",IF(D34&gt;=3,"✓ Pass","✗ Below Target"))</f>
        <v/>
      </c>
    </row>
    <row r="35">
      <c r="A35" s="49" t="inlineStr">
        <is>
          <t>Enrichment</t>
        </is>
      </c>
      <c r="B35" s="49" t="inlineStr">
        <is>
          <t>People &amp; Organization</t>
        </is>
      </c>
      <c r="C35" s="70" t="inlineStr">
        <is>
          <t>Team Structure and Dedicated Roles</t>
        </is>
      </c>
      <c r="D35" s="50">
        <f>IF(COUNT(Assessment!F64,Assessment!F69)=0,"",AVERAGE(Assessment!F64,Assessment!F69))</f>
        <v/>
      </c>
      <c r="E35" s="51">
        <f>IF(D35="","",IF(D35&gt;=4.5,"Optimized",IF(D35&gt;=3.5,"Managed",IF(D35&gt;=3.0,"Defined",IF(D35&gt;=2.0,"Repeatable","Initial")))))</f>
        <v/>
      </c>
      <c r="F35" s="51">
        <f>IF(D35="","",IF(D35&gt;=3,"✓ Pass","✗ Below Target"))</f>
        <v/>
      </c>
    </row>
    <row r="36">
      <c r="A36" s="49" t="inlineStr">
        <is>
          <t>Enrichment</t>
        </is>
      </c>
      <c r="B36" s="49" t="inlineStr">
        <is>
          <t>People &amp; Organization</t>
        </is>
      </c>
      <c r="C36" s="70" t="inlineStr">
        <is>
          <t>Skills Development and Training</t>
        </is>
      </c>
      <c r="D36" s="50">
        <f>IF(COUNT(Assessment!F65)=0,"",AVERAGE(Assessment!F65))</f>
        <v/>
      </c>
      <c r="E36" s="51">
        <f>IF(D36="","",IF(D36&gt;=4.5,"Optimized",IF(D36&gt;=3.5,"Managed",IF(D36&gt;=3.0,"Defined",IF(D36&gt;=2.0,"Repeatable","Initial")))))</f>
        <v/>
      </c>
      <c r="F36" s="51">
        <f>IF(D36="","",IF(D36&gt;=3,"✓ Pass","✗ Below Target"))</f>
        <v/>
      </c>
    </row>
    <row r="37">
      <c r="A37" s="49" t="inlineStr">
        <is>
          <t>Enrichment</t>
        </is>
      </c>
      <c r="B37" s="49" t="inlineStr">
        <is>
          <t>People &amp; Organization</t>
        </is>
      </c>
      <c r="C37" s="70" t="inlineStr">
        <is>
          <t>Leadership Commitment and Executive Sponsorship</t>
        </is>
      </c>
      <c r="D37" s="50">
        <f>IF(COUNT(Assessment!F66,Assessment!F67,Assessment!F68)=0,"",AVERAGE(Assessment!F66,Assessment!F67,Assessment!F68))</f>
        <v/>
      </c>
      <c r="E37" s="51">
        <f>IF(D37="","",IF(D37&gt;=4.5,"Optimized",IF(D37&gt;=3.5,"Managed",IF(D37&gt;=3.0,"Defined",IF(D37&gt;=2.0,"Repeatable","Initial")))))</f>
        <v/>
      </c>
      <c r="F37" s="51">
        <f>IF(D37="","",IF(D37&gt;=3,"✓ Pass","✗ Below Target"))</f>
        <v/>
      </c>
    </row>
    <row r="38">
      <c r="A38" s="49" t="inlineStr">
        <is>
          <t>Enrichment</t>
        </is>
      </c>
      <c r="B38" s="49" t="inlineStr">
        <is>
          <t>Process &amp; Governance</t>
        </is>
      </c>
      <c r="C38" s="70" t="inlineStr">
        <is>
          <t>Detection Lifecycle Workflow</t>
        </is>
      </c>
      <c r="D38" s="50">
        <f>IF(COUNT(Assessment!F72,Assessment!F76)=0,"",AVERAGE(Assessment!F72,Assessment!F76))</f>
        <v/>
      </c>
      <c r="E38" s="51">
        <f>IF(D38="","",IF(D38&gt;=4.5,"Optimized",IF(D38&gt;=3.5,"Managed",IF(D38&gt;=3.0,"Defined",IF(D38&gt;=2.0,"Repeatable","Initial")))))</f>
        <v/>
      </c>
      <c r="F38" s="51">
        <f>IF(D38="","",IF(D38&gt;=3,"✓ Pass","✗ Below Target"))</f>
        <v/>
      </c>
    </row>
    <row r="39">
      <c r="A39" s="49" t="inlineStr">
        <is>
          <t>Enrichment</t>
        </is>
      </c>
      <c r="B39" s="49" t="inlineStr">
        <is>
          <t>Process &amp; Governance</t>
        </is>
      </c>
      <c r="C39" s="70" t="inlineStr">
        <is>
          <t>Metrics and KPI Tracking</t>
        </is>
      </c>
      <c r="D39" s="50">
        <f>IF(COUNT(Assessment!F73,Assessment!F74)=0,"",AVERAGE(Assessment!F73,Assessment!F74))</f>
        <v/>
      </c>
      <c r="E39" s="51">
        <f>IF(D39="","",IF(D39&gt;=4.5,"Optimized",IF(D39&gt;=3.5,"Managed",IF(D39&gt;=3.0,"Defined",IF(D39&gt;=2.0,"Repeatable","Initial")))))</f>
        <v/>
      </c>
      <c r="F39" s="51">
        <f>IF(D39="","",IF(D39&gt;=3,"✓ Pass","✗ Below Target"))</f>
        <v/>
      </c>
    </row>
    <row r="40">
      <c r="A40" s="49" t="inlineStr">
        <is>
          <t>Enrichment</t>
        </is>
      </c>
      <c r="B40" s="49" t="inlineStr">
        <is>
          <t>Process &amp; Governance</t>
        </is>
      </c>
      <c r="C40" s="70" t="inlineStr">
        <is>
          <t>Cross-Team Collaboration</t>
        </is>
      </c>
      <c r="D40" s="50">
        <f>IF(COUNT(Assessment!F75)=0,"",AVERAGE(Assessment!F75))</f>
        <v/>
      </c>
      <c r="E40" s="51">
        <f>IF(D40="","",IF(D40&gt;=4.5,"Optimized",IF(D40&gt;=3.5,"Managed",IF(D40&gt;=3.0,"Defined",IF(D40&gt;=2.0,"Repeatable","Initial")))))</f>
        <v/>
      </c>
      <c r="F40" s="51">
        <f>IF(D40="","",IF(D40&gt;=3,"✓ Pass","✗ Below Target"))</f>
        <v/>
      </c>
    </row>
  </sheetData>
  <conditionalFormatting sqref="F10:F14">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0:C14">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7:D40">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7:F40">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2026-04-29T00:06:52Z</dcterms:created>
  <dcterms:modified xmlns:dcterms="http://purl.org/dc/terms/" xmlns:xsi="http://www.w3.org/2001/XMLSchema-instance" xsi:type="dcterms:W3CDTF">2026-04-29T00:06:52Z</dcterms:modified>
</cp:coreProperties>
</file>