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ssessment" sheetId="2" state="visible" r:id="rId2"/>
    <sheet xmlns:r="http://schemas.openxmlformats.org/officeDocument/2006/relationships" name="Results Dashboard" sheetId="3" state="visible" r:id="rId3"/>
    <sheet xmlns:r="http://schemas.openxmlformats.org/officeDocument/2006/relationships" name="Tier Scores Chart" sheetId="4" state="visible" r:id="rId4"/>
    <sheet xmlns:r="http://schemas.openxmlformats.org/officeDocument/2006/relationships" name="Readiness Chart" sheetId="5" state="visible" r:id="rId5"/>
    <sheet xmlns:r="http://schemas.openxmlformats.org/officeDocument/2006/relationships" name="Rubric Reference" sheetId="6" state="visible" r:id="rId6"/>
    <sheet xmlns:r="http://schemas.openxmlformats.org/officeDocument/2006/relationships" name="Report Data"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2" fontId="5" fillId="8" borderId="4" applyAlignment="1" pivotButton="0" quotePrefix="0" xfId="0">
      <alignment horizontal="center" vertical="center" wrapText="1"/>
    </xf>
    <xf numFmtId="0" fontId="2" fillId="11" borderId="0" applyAlignment="1" pivotButton="0" quotePrefix="0" xfId="0">
      <alignment horizontal="left" vertical="center"/>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xf numFmtId="0" fontId="8" fillId="7" borderId="4" applyAlignment="1" pivotButton="0" quotePrefix="0" xfId="0">
      <alignment horizontal="left" vertical="center" wrapText="1"/>
    </xf>
    <xf numFmtId="0" fontId="5" fillId="8" borderId="5" applyAlignment="1" pivotButton="0" quotePrefix="0" xfId="0">
      <alignment horizontal="left" vertical="center" wrapText="1"/>
    </xf>
    <xf numFmtId="2" fontId="4" fillId="8" borderId="5" applyAlignment="1" pivotButton="0" quotePrefix="0" xfId="0">
      <alignment horizontal="left" vertical="center" wrapText="1"/>
    </xf>
    <xf numFmtId="0" fontId="8" fillId="3" borderId="4" applyAlignment="1" pivotButton="0" quotePrefix="0" xfId="0">
      <alignment horizontal="center" vertical="center" wrapText="1"/>
    </xf>
    <xf numFmtId="0" fontId="5" fillId="8" borderId="4" applyAlignment="1" pivotButton="0" quotePrefix="0" xfId="0">
      <alignment horizontal="center" vertical="center" wrapText="1"/>
    </xf>
    <xf numFmtId="0" fontId="4" fillId="8" borderId="4" applyAlignment="1" pivotButton="0" quotePrefix="0" xfId="0">
      <alignment horizontal="left" vertical="center" wrapText="1"/>
    </xf>
    <xf numFmtId="0" fontId="4" fillId="8" borderId="4" applyAlignment="1" pivotButton="0" quotePrefix="0" xfId="0">
      <alignment horizontal="center" vertical="center"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DEBMM Tier Scores</a:t>
            </a:r>
          </a:p>
        </rich>
      </tx>
    </title>
    <plotArea>
      <barChart>
        <barDir val="col"/>
        <grouping val="clustered"/>
        <ser>
          <idx val="0"/>
          <order val="0"/>
          <tx>
            <strRef>
              <f>'Tier Scores Chart'!C4</f>
            </strRef>
          </tx>
          <spPr>
            <a:ln xmlns:a="http://schemas.openxmlformats.org/drawingml/2006/main">
              <a:prstDash val="solid"/>
            </a:ln>
          </spPr>
          <dPt>
            <idx val="0"/>
            <spPr>
              <a:solidFill xmlns:a="http://schemas.openxmlformats.org/drawingml/2006/main">
                <a:srgbClr val="3B82F6"/>
              </a:solidFill>
              <a:ln xmlns:a="http://schemas.openxmlformats.org/drawingml/2006/main">
                <a:prstDash val="solid"/>
              </a:ln>
            </spPr>
          </dPt>
          <dPt>
            <idx val="1"/>
            <spPr>
              <a:solidFill xmlns:a="http://schemas.openxmlformats.org/drawingml/2006/main">
                <a:srgbClr val="3B82F6"/>
              </a:solidFill>
              <a:ln xmlns:a="http://schemas.openxmlformats.org/drawingml/2006/main">
                <a:prstDash val="solid"/>
              </a:ln>
            </spPr>
          </dPt>
          <dPt>
            <idx val="2"/>
            <spPr>
              <a:solidFill xmlns:a="http://schemas.openxmlformats.org/drawingml/2006/main">
                <a:srgbClr val="3B82F6"/>
              </a:solidFill>
              <a:ln xmlns:a="http://schemas.openxmlformats.org/drawingml/2006/main">
                <a:prstDash val="solid"/>
              </a:ln>
            </spPr>
          </dPt>
          <dPt>
            <idx val="3"/>
            <spPr>
              <a:solidFill xmlns:a="http://schemas.openxmlformats.org/drawingml/2006/main">
                <a:srgbClr val="3B82F6"/>
              </a:solidFill>
              <a:ln xmlns:a="http://schemas.openxmlformats.org/drawingml/2006/main">
                <a:prstDash val="solid"/>
              </a:ln>
            </spPr>
          </dPt>
          <dPt>
            <idx val="4"/>
            <spPr>
              <a:solidFill xmlns:a="http://schemas.openxmlformats.org/drawingml/2006/main">
                <a:srgbClr val="3B82F6"/>
              </a:solidFill>
              <a:ln xmlns:a="http://schemas.openxmlformats.org/drawingml/2006/main">
                <a:prstDash val="solid"/>
              </a:ln>
            </spPr>
          </dPt>
          <cat>
            <numRef>
              <f>'Tier Scores Chart'!$B$5:$B$9</f>
            </numRef>
          </cat>
          <val>
            <numRef>
              <f>'Tier Scores Chart'!$C$5:$C$9</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xmlns:a="http://schemas.openxmlformats.org/drawingml/2006/main"/>
              <a:p xmlns:a="http://schemas.openxmlformats.org/drawingml/2006/main">
                <a:pPr>
                  <a:defRPr/>
                </a:pPr>
                <a:r>
                  <a:t>Score (1—5)</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Organizational Readiness</a:t>
            </a:r>
          </a:p>
        </rich>
      </tx>
    </title>
    <plotArea>
      <barChart>
        <barDir val="col"/>
        <grouping val="clustered"/>
        <ser>
          <idx val="0"/>
          <order val="0"/>
          <tx>
            <strRef>
              <f>'Readiness Chart'!C4</f>
            </strRef>
          </tx>
          <spPr>
            <a:ln xmlns:a="http://schemas.openxmlformats.org/drawingml/2006/main">
              <a:prstDash val="solid"/>
            </a:ln>
          </spPr>
          <dPt>
            <idx val="0"/>
            <spPr>
              <a:solidFill xmlns:a="http://schemas.openxmlformats.org/drawingml/2006/main">
                <a:srgbClr val="0D7377"/>
              </a:solidFill>
              <a:ln xmlns:a="http://schemas.openxmlformats.org/drawingml/2006/main">
                <a:prstDash val="solid"/>
              </a:ln>
            </spPr>
          </dPt>
          <dPt>
            <idx val="1"/>
            <spPr>
              <a:solidFill xmlns:a="http://schemas.openxmlformats.org/drawingml/2006/main">
                <a:srgbClr val="0D7377"/>
              </a:solidFill>
              <a:ln xmlns:a="http://schemas.openxmlformats.org/drawingml/2006/main">
                <a:prstDash val="solid"/>
              </a:ln>
            </spPr>
          </dPt>
          <cat>
            <numRef>
              <f>'Readiness Chart'!$B$5:$B$6</f>
            </numRef>
          </cat>
          <val>
            <numRef>
              <f>'Readiness Chart'!$C$5:$C$6</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xmlns:a="http://schemas.openxmlformats.org/drawingml/2006/main"/>
              <a:p xmlns:a="http://schemas.openxmlformats.org/drawingml/2006/main">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7</row>
      <rowOff>0</rowOff>
    </from>
    <ext cx="648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Self-Assessment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G71"/>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2" customWidth="1" min="7" max="7"/>
  </cols>
  <sheetData>
    <row r="1" ht="52" customHeight="1">
      <c r="A1" s="1" t="inlineStr">
        <is>
          <t xml:space="preserve">  DEBMM Assessment</t>
        </is>
      </c>
      <c r="B1" s="2" t="n"/>
      <c r="C1" s="2" t="n"/>
      <c r="D1" s="2" t="n"/>
      <c r="E1" s="2" t="n"/>
      <c r="F1" s="2" t="n"/>
      <c r="G1" s="2" t="n"/>
    </row>
    <row r="2" ht="24" customHeight="1">
      <c r="A2" s="3" t="inlineStr">
        <is>
          <t xml:space="preserve">  Detection Engineering Behavior Maturity Model</t>
        </is>
      </c>
      <c r="B2" s="4" t="n"/>
      <c r="C2" s="4" t="n"/>
      <c r="D2" s="4" t="n"/>
      <c r="E2" s="4" t="n"/>
      <c r="F2" s="4" t="n"/>
      <c r="G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Self-Assessment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row>
    <row r="13" ht="34" customHeight="1">
      <c r="B13" s="15" t="inlineStr">
        <is>
          <t xml:space="preserve">  TIER 0: FOUNDATION</t>
        </is>
      </c>
      <c r="C13" s="4" t="n"/>
      <c r="D13" s="4" t="n"/>
      <c r="E13" s="4" t="n"/>
      <c r="F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your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row>
    <row r="16" ht="35" customHeight="1">
      <c r="B16" s="21" t="inlineStr">
        <is>
          <t>T0-Q2</t>
        </is>
      </c>
      <c r="C16" s="22" t="inlineStr">
        <is>
          <t>Structured Rule Development Approach</t>
        </is>
      </c>
      <c r="D16" s="23" t="inlineStr">
        <is>
          <t>Do all new detection rules go through peer review before deployment to production?</t>
        </is>
      </c>
      <c r="E16" s="19" t="n"/>
      <c r="F16" s="24">
        <f>IF(E16="Yes",4,IF(E16="No",1,""))</f>
        <v/>
      </c>
    </row>
    <row r="17" ht="115" customHeight="1">
      <c r="B17" s="16" t="inlineStr">
        <is>
          <t>T0-Q3</t>
        </is>
      </c>
      <c r="C17" s="17" t="inlineStr">
        <is>
          <t>Rule Creation and Maintenance</t>
        </is>
      </c>
      <c r="D17" s="18" t="inlineStr">
        <is>
          <t>What percentage of your detection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row>
    <row r="18" ht="115" customHeight="1">
      <c r="B18" s="21" t="inlineStr">
        <is>
          <t>T0-Q4</t>
        </is>
      </c>
      <c r="C18" s="25" t="inlineStr">
        <is>
          <t>Roadmap Documentation</t>
        </is>
      </c>
      <c r="D18" s="23" t="inlineStr">
        <is>
          <t>Rate the maturity of your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4">
        <f>IF(E18="","",E18)</f>
        <v/>
      </c>
    </row>
    <row r="19" ht="115" customHeight="1">
      <c r="B19" s="16" t="inlineStr">
        <is>
          <t>T0-Q5</t>
        </is>
      </c>
      <c r="C19" s="17" t="inlineStr">
        <is>
          <t>Threat Modeling</t>
        </is>
      </c>
      <c r="D19" s="18" t="inlineStr">
        <is>
          <t>How frequently does your team perform threat modeling to inform detection priorities?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row>
    <row r="20" ht="35" customHeight="1">
      <c r="B20" s="21" t="inlineStr">
        <is>
          <t>T0-Q6</t>
        </is>
      </c>
      <c r="C20" s="22" t="inlineStr">
        <is>
          <t>Threat Modeling</t>
        </is>
      </c>
      <c r="D20" s="23" t="inlineStr">
        <is>
          <t>Does your threat modeling use a recognized framework (e.g., STRIDE, MITRE ATT&amp;CK, PASTA, attack trees)?</t>
        </is>
      </c>
      <c r="E20" s="19" t="n"/>
      <c r="F20" s="24">
        <f>IF(E20="Yes",3,IF(E20="No",1,""))</f>
        <v/>
      </c>
    </row>
    <row r="21" ht="35" customHeight="1">
      <c r="B21" s="16" t="inlineStr">
        <is>
          <t>T0-Q7</t>
        </is>
      </c>
      <c r="C21" s="26" t="inlineStr">
        <is>
          <t>Threat Modeling</t>
        </is>
      </c>
      <c r="D21" s="18" t="inlineStr">
        <is>
          <t>Do threat modeling outputs directly generate items on your detection engineering backlog or roadmap?</t>
        </is>
      </c>
      <c r="E21" s="19" t="n"/>
      <c r="F21" s="20">
        <f>IF(E21="Yes",4,IF(E21="No",1,""))</f>
        <v/>
      </c>
    </row>
    <row r="22" ht="34" customHeight="1">
      <c r="B22" s="15" t="inlineStr">
        <is>
          <t xml:space="preserve">  TIER 1: BASIC</t>
        </is>
      </c>
      <c r="C22" s="4" t="n"/>
      <c r="D22" s="4" t="n"/>
      <c r="E22" s="4" t="n"/>
      <c r="F22" s="4" t="n"/>
    </row>
    <row r="23" ht="20" customHeight="1">
      <c r="B23" s="13" t="inlineStr">
        <is>
          <t>Establishes baseline detection capabilities with systematic management, version control, and initial alignment with the threat landscape.</t>
        </is>
      </c>
      <c r="C23" s="6" t="n"/>
      <c r="D23" s="6" t="n"/>
      <c r="E23" s="6" t="n"/>
      <c r="F23" s="6" t="n"/>
    </row>
    <row r="24" ht="115" customHeight="1">
      <c r="B24" s="16" t="inlineStr">
        <is>
          <t>T1-Q1</t>
        </is>
      </c>
      <c r="C24" s="17" t="inlineStr">
        <is>
          <t>Baseline Rule Creation</t>
        </is>
      </c>
      <c r="D24" s="18" t="inlineStr">
        <is>
          <t>How many custom detection rules does your team maintain (excluding vendor defaults)?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4" s="19" t="n"/>
      <c r="F24" s="20">
        <f>IF(E24="","",E24)</f>
        <v/>
      </c>
    </row>
    <row r="25" ht="115" customHeight="1">
      <c r="B25" s="21" t="inlineStr">
        <is>
          <t>T1-Q2</t>
        </is>
      </c>
      <c r="C25" s="22" t="inlineStr">
        <is>
          <t>Baseline Rule Creation</t>
        </is>
      </c>
      <c r="D25" s="23" t="inlineStr">
        <is>
          <t>Estimate your MITRE ATT&amp;CK technique coverage for your organization's priority threat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5" s="19" t="n"/>
      <c r="F25" s="24">
        <f>IF(E25="","",E25)</f>
        <v/>
      </c>
    </row>
    <row r="26" ht="115" customHeight="1">
      <c r="B26" s="16" t="inlineStr">
        <is>
          <t>T1-Q3</t>
        </is>
      </c>
      <c r="C26" s="17" t="inlineStr">
        <is>
          <t>Ruleset Management and Maintenance</t>
        </is>
      </c>
      <c r="D26" s="18" t="inlineStr">
        <is>
          <t>Rate the maturity of your ruleset management practices.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6" s="19" t="n"/>
      <c r="F26" s="20">
        <f>IF(E26="","",E26)</f>
        <v/>
      </c>
    </row>
    <row r="27" ht="115" customHeight="1">
      <c r="B27" s="21" t="inlineStr">
        <is>
          <t>T1-Q4</t>
        </is>
      </c>
      <c r="C27" s="25" t="inlineStr">
        <is>
          <t>Telemetry Quality</t>
        </is>
      </c>
      <c r="D27" s="23" t="inlineStr">
        <is>
          <t>Rate the quality and coverage of your telemetry data sources for detection.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7" s="19" t="n"/>
      <c r="F27" s="24">
        <f>IF(E27="","",E27)</f>
        <v/>
      </c>
    </row>
    <row r="28" ht="35" customHeight="1">
      <c r="B28" s="16" t="inlineStr">
        <is>
          <t>T1-Q5</t>
        </is>
      </c>
      <c r="C28" s="26" t="inlineStr">
        <is>
          <t>Telemetry Quality</t>
        </is>
      </c>
      <c r="D28" s="18" t="inlineStr">
        <is>
          <t>Do you maintain a documented inventory of telemetry data sources mapped to detection use cases?</t>
        </is>
      </c>
      <c r="E28" s="19" t="n"/>
      <c r="F28" s="20">
        <f>IF(E28="Yes",3,IF(E28="No",1,""))</f>
        <v/>
      </c>
    </row>
    <row r="29" ht="35" customHeight="1">
      <c r="B29" s="21" t="inlineStr">
        <is>
          <t>T1-Q6</t>
        </is>
      </c>
      <c r="C29" s="22" t="inlineStr">
        <is>
          <t>Telemetry Quality</t>
        </is>
      </c>
      <c r="D29" s="23" t="inlineStr">
        <is>
          <t>Do you have automated alerting for when critical data sources stop ingesting or degrade in quality?</t>
        </is>
      </c>
      <c r="E29" s="19" t="n"/>
      <c r="F29" s="24">
        <f>IF(E29="Yes",4,IF(E29="No",1,""))</f>
        <v/>
      </c>
    </row>
    <row r="30" ht="115" customHeight="1">
      <c r="B30" s="16" t="inlineStr">
        <is>
          <t>T1-Q7</t>
        </is>
      </c>
      <c r="C30" s="17" t="inlineStr">
        <is>
          <t>Threat Landscape Review</t>
        </is>
      </c>
      <c r="D30" s="18" t="inlineStr">
        <is>
          <t>How frequently does your team review the threat landscape to update detection priorities?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0" s="19" t="n"/>
      <c r="F30" s="20">
        <f>IF(E30="","",E30)</f>
        <v/>
      </c>
    </row>
    <row r="31" ht="115" customHeight="1">
      <c r="B31" s="21" t="inlineStr">
        <is>
          <t>T1-Q8</t>
        </is>
      </c>
      <c r="C31" s="25" t="inlineStr">
        <is>
          <t>Product Owner Engagement</t>
        </is>
      </c>
      <c r="D31" s="23" t="inlineStr">
        <is>
          <t>Rate the engagement between your detection engineering team and security product/platform owners (e.g., SIEM vendor, EDR team).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1" s="19" t="n"/>
      <c r="F31" s="24">
        <f>IF(E31="","",E31)</f>
        <v/>
      </c>
    </row>
    <row r="32" ht="115" customHeight="1">
      <c r="B32" s="16" t="inlineStr">
        <is>
          <t>T1-Q9</t>
        </is>
      </c>
      <c r="C32" s="17" t="inlineStr">
        <is>
          <t>Release Testing and Validation</t>
        </is>
      </c>
      <c r="D32" s="18" t="inlineStr">
        <is>
          <t>Rate the maturity of your detection rule testing before production deployment.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2" s="19" t="n"/>
      <c r="F32" s="20">
        <f>IF(E32="","",E32)</f>
        <v/>
      </c>
    </row>
    <row r="33" ht="34" customHeight="1">
      <c r="B33" s="15" t="inlineStr">
        <is>
          <t xml:space="preserve">  TIER 2: INTERMEDIATE</t>
        </is>
      </c>
      <c r="C33" s="4" t="n"/>
      <c r="D33" s="4" t="n"/>
      <c r="E33" s="4" t="n"/>
      <c r="F33" s="4" t="n"/>
    </row>
    <row r="34" ht="20" customHeight="1">
      <c r="B34" s="13" t="inlineStr">
        <is>
          <t>Focuses on improving detection quality through tuning, gap analysis, and systematic internal validation.</t>
        </is>
      </c>
      <c r="C34" s="6" t="n"/>
      <c r="D34" s="6" t="n"/>
      <c r="E34" s="6" t="n"/>
      <c r="F34" s="6" t="n"/>
    </row>
    <row r="35" ht="115" customHeight="1">
      <c r="B35" s="16" t="inlineStr">
        <is>
          <t>T2-Q1</t>
        </is>
      </c>
      <c r="C35" s="17" t="inlineStr">
        <is>
          <t>False Positive Tuning and Reduction</t>
        </is>
      </c>
      <c r="D35" s="18" t="inlineStr">
        <is>
          <t>Rate the maturity of your false positive tuning and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5" s="19" t="n"/>
      <c r="F35" s="20">
        <f>IF(E35="","",E35)</f>
        <v/>
      </c>
    </row>
    <row r="36" ht="115" customHeight="1">
      <c r="B36" s="21" t="inlineStr">
        <is>
          <t>T2-Q2</t>
        </is>
      </c>
      <c r="C36" s="22" t="inlineStr">
        <is>
          <t>False Positive Tuning and Reduction</t>
        </is>
      </c>
      <c r="D36" s="23" t="inlineStr">
        <is>
          <t>What is your estimated false positive reduction from initial baseline across your tuned rules?
1 — Unknown or not measured
2 — Less than 25% reduction
3 — 25-50% reduction with per-rule FP rate tracking
4 — 50-75% reduction with automated tuning recommendations
5 — Over 75% reduction with ML-assisted continuous tuning</t>
        </is>
      </c>
      <c r="E36" s="19" t="n"/>
      <c r="F36" s="24">
        <f>IF(E36="","",E36)</f>
        <v/>
      </c>
    </row>
    <row r="37" ht="115" customHeight="1">
      <c r="B37" s="16" t="inlineStr">
        <is>
          <t>T2-Q3</t>
        </is>
      </c>
      <c r="C37" s="17" t="inlineStr">
        <is>
          <t>Gap Analysis and Documentation</t>
        </is>
      </c>
      <c r="D37" s="18" t="inlineStr">
        <is>
          <t>Rate the maturity of your detection coverage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7" s="19" t="n"/>
      <c r="F37" s="20">
        <f>IF(E37="","",E37)</f>
        <v/>
      </c>
    </row>
    <row r="38" ht="35" customHeight="1">
      <c r="B38" s="21" t="inlineStr">
        <is>
          <t>T2-Q4</t>
        </is>
      </c>
      <c r="C38" s="22" t="inlineStr">
        <is>
          <t>Gap Analysis and Documentation</t>
        </is>
      </c>
      <c r="D38" s="23" t="inlineStr">
        <is>
          <t>Do you maintain a documented, prioritized list of detection coverage gaps that is updated at least quarterly?</t>
        </is>
      </c>
      <c r="E38" s="19" t="n"/>
      <c r="F38" s="24">
        <f>IF(E38="Yes",3,IF(E38="No",1,""))</f>
        <v/>
      </c>
    </row>
    <row r="39" ht="35" customHeight="1">
      <c r="B39" s="16" t="inlineStr">
        <is>
          <t>T2-Q5</t>
        </is>
      </c>
      <c r="C39" s="26" t="inlineStr">
        <is>
          <t>Gap Analysis and Documentation</t>
        </is>
      </c>
      <c r="D39" s="18" t="inlineStr">
        <is>
          <t>Are detection coverage gaps formally communicated to stakeholders (leadership, IR, threat intel) at least quarterly?</t>
        </is>
      </c>
      <c r="E39" s="19" t="n"/>
      <c r="F39" s="20">
        <f>IF(E39="Yes",4,IF(E39="No",1,""))</f>
        <v/>
      </c>
    </row>
    <row r="40" ht="115" customHeight="1">
      <c r="B40" s="21" t="inlineStr">
        <is>
          <t>T2-Q6</t>
        </is>
      </c>
      <c r="C40" s="25" t="inlineStr">
        <is>
          <t>Internal Testing and Validation</t>
        </is>
      </c>
      <c r="D40" s="23" t="inlineStr">
        <is>
          <t>Rate the maturity of your internal detection testing and validation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0" s="19" t="n"/>
      <c r="F40" s="24">
        <f>IF(E40="","",E40)</f>
        <v/>
      </c>
    </row>
    <row r="41" ht="34" customHeight="1">
      <c r="B41" s="15" t="inlineStr">
        <is>
          <t xml:space="preserve">  TIER 3: ADVANCED</t>
        </is>
      </c>
      <c r="C41" s="4" t="n"/>
      <c r="D41" s="4" t="n"/>
      <c r="E41" s="4" t="n"/>
      <c r="F41" s="4" t="n"/>
    </row>
    <row r="42" ht="20" customHeight="1">
      <c r="B42" s="13" t="inlineStr">
        <is>
          <t>Addresses false negatives, external validation, and advanced threat coverage to ensure detections catch real attacks.</t>
        </is>
      </c>
      <c r="C42" s="6" t="n"/>
      <c r="D42" s="6" t="n"/>
      <c r="E42" s="6" t="n"/>
      <c r="F42" s="6" t="n"/>
    </row>
    <row r="43" ht="115" customHeight="1">
      <c r="B43" s="16" t="inlineStr">
        <is>
          <t>T3-Q1</t>
        </is>
      </c>
      <c r="C43" s="17" t="inlineStr">
        <is>
          <t>False Negative Triage</t>
        </is>
      </c>
      <c r="D43" s="18" t="inlineStr">
        <is>
          <t>Rate your team's ability to identify and remediate false negatives (missed detections).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3" s="19" t="n"/>
      <c r="F43" s="20">
        <f>IF(E43="","",E43)</f>
        <v/>
      </c>
    </row>
    <row r="44" ht="115" customHeight="1">
      <c r="B44" s="21" t="inlineStr">
        <is>
          <t>T3-Q2</t>
        </is>
      </c>
      <c r="C44" s="22" t="inlineStr">
        <is>
          <t>False Negative Triage</t>
        </is>
      </c>
      <c r="D44" s="23" t="inlineStr">
        <is>
          <t>What is your detection trigger rate when tested samples or emulations are run against your rules?
1 — Unknown or not tested
2 — Less than 50% of test samples trigger expected detections
3 — 50-70% trigger rate with root cause analysis on misses
4 — 70-90% trigger rate with automated validation and remediation
5 — Over 90% trigger rate with continuous regression testing</t>
        </is>
      </c>
      <c r="E44" s="19" t="n"/>
      <c r="F44" s="24">
        <f>IF(E44="","",E44)</f>
        <v/>
      </c>
    </row>
    <row r="45" ht="115" customHeight="1">
      <c r="B45" s="16" t="inlineStr">
        <is>
          <t>T3-Q3</t>
        </is>
      </c>
      <c r="C45" s="17" t="inlineStr">
        <is>
          <t>External Validation</t>
        </is>
      </c>
      <c r="D45" s="18" t="inlineStr">
        <is>
          <t>Rate the maturity of your external validation program for detection capabilities.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5" s="19" t="n"/>
      <c r="F45" s="20">
        <f>IF(E45="","",E45)</f>
        <v/>
      </c>
    </row>
    <row r="46" ht="115" customHeight="1">
      <c r="B46" s="21" t="inlineStr">
        <is>
          <t>T3-Q4</t>
        </is>
      </c>
      <c r="C46" s="25" t="inlineStr">
        <is>
          <t>Advanced TTP Coverage</t>
        </is>
      </c>
      <c r="D46" s="23" t="inlineStr">
        <is>
          <t>Rate your detection coverage of advanced TTPs beyond basic signatures and IOCs.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6" s="19" t="n"/>
      <c r="F46" s="24">
        <f>IF(E46="","",E46)</f>
        <v/>
      </c>
    </row>
    <row r="47" ht="115" customHeight="1">
      <c r="B47" s="16" t="inlineStr">
        <is>
          <t>T3-Q5</t>
        </is>
      </c>
      <c r="C47" s="26" t="inlineStr">
        <is>
          <t>Advanced TTP Coverage</t>
        </is>
      </c>
      <c r="D47" s="18" t="inlineStr">
        <is>
          <t>How many of these advanced TTP categories does your team have behavioral detections for: (1) LOLBins/living-off-the-land, (2) fileless malware, (3) credential dumping evasion, (4) defense evasion/log tampering, (5) lateral movement via legitimate tools?
1 — None of these
2 — 1 of these categories
3 — 2-3 of these categories
4 — 4-5 of these categories
5 — All 5 plus additional categories (e.g., supply chain attacks, AI-assisted threats)</t>
        </is>
      </c>
      <c r="E47" s="19" t="n"/>
      <c r="F47" s="20">
        <f>IF(E47="","",E47)</f>
        <v/>
      </c>
    </row>
    <row r="48" ht="34" customHeight="1">
      <c r="B48" s="15" t="inlineStr">
        <is>
          <t xml:space="preserve">  TIER 4: EXPERT</t>
        </is>
      </c>
      <c r="C48" s="4" t="n"/>
      <c r="D48" s="4" t="n"/>
      <c r="E48" s="4" t="n"/>
      <c r="F48" s="4" t="n"/>
    </row>
    <row r="49" ht="20" customHeight="1">
      <c r="B49" s="13" t="inlineStr">
        <is>
          <t>Features proactive threat hunting, advanced automation, AI/LLM integration, and continuous improvement across the detection lifecycle.</t>
        </is>
      </c>
      <c r="C49" s="6" t="n"/>
      <c r="D49" s="6" t="n"/>
      <c r="E49" s="6" t="n"/>
      <c r="F49" s="6" t="n"/>
    </row>
    <row r="50" ht="115" customHeight="1">
      <c r="B50" s="16" t="inlineStr">
        <is>
          <t>T4-Q1</t>
        </is>
      </c>
      <c r="C50" s="17" t="inlineStr">
        <is>
          <t>Threat Hunting in Telemetry</t>
        </is>
      </c>
      <c r="D50" s="18" t="inlineStr">
        <is>
          <t>Rate the maturity of your threat hunting program.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0" s="19" t="n"/>
      <c r="F50" s="20">
        <f>IF(E50="","",E50)</f>
        <v/>
      </c>
    </row>
    <row r="51" ht="35" customHeight="1">
      <c r="B51" s="21" t="inlineStr">
        <is>
          <t>T4-Q2</t>
        </is>
      </c>
      <c r="C51" s="22" t="inlineStr">
        <is>
          <t>Threat Hunting in Telemetry</t>
        </is>
      </c>
      <c r="D51" s="23" t="inlineStr">
        <is>
          <t>Are your threat hunts driven by documented hypotheses (from intel, incidents, or gap analysis) rather than ad hoc exploration?</t>
        </is>
      </c>
      <c r="E51" s="19" t="n"/>
      <c r="F51" s="24">
        <f>IF(E51="Yes",4,IF(E51="No",1,""))</f>
        <v/>
      </c>
    </row>
    <row r="52" ht="35" customHeight="1">
      <c r="B52" s="16" t="inlineStr">
        <is>
          <t>T4-Q3</t>
        </is>
      </c>
      <c r="C52" s="26" t="inlineStr">
        <is>
          <t>Threat Hunting in Telemetry</t>
        </is>
      </c>
      <c r="D52" s="18" t="inlineStr">
        <is>
          <t>Is there a defined process to convert threat hunting findings into production detection rules?</t>
        </is>
      </c>
      <c r="E52" s="19" t="n"/>
      <c r="F52" s="20">
        <f>IF(E52="Yes",4,IF(E52="No",1,""))</f>
        <v/>
      </c>
    </row>
    <row r="53" ht="115" customHeight="1">
      <c r="B53" s="21" t="inlineStr">
        <is>
          <t>T4-Q4</t>
        </is>
      </c>
      <c r="C53" s="25" t="inlineStr">
        <is>
          <t>Automation and Continuous Improvement</t>
        </is>
      </c>
      <c r="D53" s="23" t="inlineStr">
        <is>
          <t>What percentage of your detection engineering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3" s="19" t="n"/>
      <c r="F53" s="24">
        <f>IF(E53="","",E53)</f>
        <v/>
      </c>
    </row>
    <row r="54" ht="115" customHeight="1">
      <c r="B54" s="16" t="inlineStr">
        <is>
          <t>T4-Q5</t>
        </is>
      </c>
      <c r="C54" s="26" t="inlineStr">
        <is>
          <t>Automation and Continuous Improvement</t>
        </is>
      </c>
      <c r="D54" s="18" t="inlineStr">
        <is>
          <t>How many detection lifecycle stages have AI/LLM or automation integration? Stages: (1) rule authoring, (2) testing, (3) tuning, (4) deployment, (5) monitoring, (6) retirement.
1 — None; all stages are manual
2 — 1 stage (e.g., deployment scripts only)
3 — 2-3 stages automated or AI-assisted
4 — 4-5 stages automated or AI-assisted
5 — All 6 stages with AI/LLM integration throughout</t>
        </is>
      </c>
      <c r="E54" s="19" t="n"/>
      <c r="F54" s="20">
        <f>IF(E54="","",E54)</f>
        <v/>
      </c>
    </row>
    <row r="55" ht="20" customHeight="1">
      <c r="A55" s="27" t="n"/>
      <c r="B55" s="27" t="n"/>
      <c r="C55" s="27" t="n"/>
      <c r="D55" s="27" t="n"/>
      <c r="E55" s="27" t="n"/>
      <c r="F55" s="27" t="n"/>
      <c r="G55" s="27" t="n"/>
    </row>
    <row r="56" ht="32" customHeight="1">
      <c r="B56" s="28" t="inlineStr">
        <is>
          <t>SUPPLEMENTARY DIMENSIONS — Organizational Readiness</t>
        </is>
      </c>
      <c r="C56" s="29" t="n"/>
      <c r="D56" s="29" t="n"/>
      <c r="E56" s="29" t="n"/>
      <c r="F56" s="29" t="n"/>
    </row>
    <row r="57" ht="22" customHeight="1">
      <c r="B57" s="30" t="inlineStr">
        <is>
          <t>These dimensions from detectionengineering.io assess people and process factors. They contribute to the overall score but do not affect DEBMM tier determination.</t>
        </is>
      </c>
      <c r="C57" s="29" t="n"/>
      <c r="D57" s="29" t="n"/>
      <c r="E57" s="29" t="n"/>
      <c r="F57" s="29" t="n"/>
    </row>
    <row r="58" ht="26" customHeight="1">
      <c r="B58" s="31" t="inlineStr">
        <is>
          <t>ID</t>
        </is>
      </c>
      <c r="C58" s="31" t="inlineStr">
        <is>
          <t>Criterion</t>
        </is>
      </c>
      <c r="D58" s="31" t="inlineStr">
        <is>
          <t>Question</t>
        </is>
      </c>
      <c r="E58" s="31" t="inlineStr">
        <is>
          <t>Answer</t>
        </is>
      </c>
      <c r="F58" s="31" t="inlineStr">
        <is>
          <t>Score</t>
        </is>
      </c>
    </row>
    <row r="59" ht="34" customHeight="1">
      <c r="B59" s="32" t="inlineStr">
        <is>
          <t xml:space="preserve">  PEOPLE &amp; ORGANIZATION</t>
        </is>
      </c>
      <c r="C59" s="33" t="n"/>
      <c r="D59" s="33" t="n"/>
      <c r="E59" s="33" t="n"/>
      <c r="F59" s="33" t="n"/>
    </row>
    <row r="60" ht="20" customHeight="1">
      <c r="B60" s="30" t="inlineStr">
        <is>
          <t>Assesses the human and organizational factors that enable effective detection engineering, drawn from Kyle Bailey's Detection Engineering Maturity Matrix.</t>
        </is>
      </c>
      <c r="C60" s="29" t="n"/>
      <c r="D60" s="29" t="n"/>
      <c r="E60" s="29" t="n"/>
      <c r="F60" s="29" t="n"/>
    </row>
    <row r="61" ht="115" customHeight="1">
      <c r="B61" s="16" t="inlineStr">
        <is>
          <t>EP-Q1</t>
        </is>
      </c>
      <c r="C61" s="17" t="inlineStr">
        <is>
          <t>Team Structure and Dedicated Roles</t>
        </is>
      </c>
      <c r="D61" s="18" t="inlineStr">
        <is>
          <t>Rate the maturity of your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1" s="19" t="n"/>
      <c r="F61" s="20">
        <f>IF(E61="","",E61)</f>
        <v/>
      </c>
    </row>
    <row r="62" ht="115" customHeight="1">
      <c r="B62" s="34" t="inlineStr">
        <is>
          <t>EP-Q2</t>
        </is>
      </c>
      <c r="C62" s="35" t="inlineStr">
        <is>
          <t>Skills Development and Training</t>
        </is>
      </c>
      <c r="D62" s="36" t="inlineStr">
        <is>
          <t>Rate the maturity of your detection engineering skills development program.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2" s="19" t="n"/>
      <c r="F62" s="37">
        <f>IF(E62="","",E62)</f>
        <v/>
      </c>
    </row>
    <row r="63" ht="115" customHeight="1">
      <c r="B63" s="16" t="inlineStr">
        <is>
          <t>EP-Q3</t>
        </is>
      </c>
      <c r="C63" s="17" t="inlineStr">
        <is>
          <t>Leadership Commitment and Executive Sponsorship</t>
        </is>
      </c>
      <c r="D63" s="18" t="inlineStr">
        <is>
          <t>Rate the level of executive sponsorship and leadership commitment to detection engineering.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3" s="19" t="n"/>
      <c r="F63" s="20">
        <f>IF(E63="","",E63)</f>
        <v/>
      </c>
    </row>
    <row r="64" ht="35" customHeight="1">
      <c r="B64" s="34" t="inlineStr">
        <is>
          <t>EP-Q4</t>
        </is>
      </c>
      <c r="C64" s="38" t="inlineStr">
        <is>
          <t>Leadership Commitment and Executive Sponsorship</t>
        </is>
      </c>
      <c r="D64" s="36" t="inlineStr">
        <is>
          <t>Does your detection engineering team present metrics or results to executive leadership at least quarterly?</t>
        </is>
      </c>
      <c r="E64" s="19" t="n"/>
      <c r="F64" s="37">
        <f>IF(E64="Yes",3,IF(E64="No",1,""))</f>
        <v/>
      </c>
    </row>
    <row r="65" ht="35" customHeight="1">
      <c r="B65" s="16" t="inlineStr">
        <is>
          <t>EP-Q5</t>
        </is>
      </c>
      <c r="C65" s="26" t="inlineStr">
        <is>
          <t>Leadership Commitment and Executive Sponsorship</t>
        </is>
      </c>
      <c r="D65" s="18" t="inlineStr">
        <is>
          <t>Has executive leadership made investment or staffing decisions based on detection engineering metrics or recommendations in the past year?</t>
        </is>
      </c>
      <c r="E65" s="19" t="n"/>
      <c r="F65" s="20">
        <f>IF(E65="Yes",4,IF(E65="No",1,""))</f>
        <v/>
      </c>
    </row>
    <row r="66" ht="34" customHeight="1">
      <c r="B66" s="32" t="inlineStr">
        <is>
          <t xml:space="preserve">  PROCESS &amp; GOVERNANCE</t>
        </is>
      </c>
      <c r="C66" s="33" t="n"/>
      <c r="D66" s="33" t="n"/>
      <c r="E66" s="33" t="n"/>
      <c r="F66" s="33" t="n"/>
    </row>
    <row r="67" ht="20" customHeight="1">
      <c r="B67" s="30" t="inlineStr">
        <is>
          <t>Assesses the process maturity and governance structures supporting detection engineering, drawn from Kyle Bailey's Detection Engineering Maturity Matrix.</t>
        </is>
      </c>
      <c r="C67" s="29" t="n"/>
      <c r="D67" s="29" t="n"/>
      <c r="E67" s="29" t="n"/>
      <c r="F67" s="29" t="n"/>
    </row>
    <row r="68" ht="115" customHeight="1">
      <c r="B68" s="16" t="inlineStr">
        <is>
          <t>EG-Q1</t>
        </is>
      </c>
      <c r="C68" s="17" t="inlineStr">
        <is>
          <t>Detection Lifecycle Workflow</t>
        </is>
      </c>
      <c r="D68" s="18" t="inlineStr">
        <is>
          <t>Rate the maturity of your detection lifecycle workflow (from request through retirement).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68" s="19" t="n"/>
      <c r="F68" s="20">
        <f>IF(E68="","",E68)</f>
        <v/>
      </c>
    </row>
    <row r="69" ht="115" customHeight="1">
      <c r="B69" s="34" t="inlineStr">
        <is>
          <t>EG-Q2</t>
        </is>
      </c>
      <c r="C69" s="35" t="inlineStr">
        <is>
          <t>Metrics and KPI Tracking</t>
        </is>
      </c>
      <c r="D69" s="36" t="inlineStr">
        <is>
          <t>Rate the maturity of your detection engineering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69" s="19" t="n"/>
      <c r="F69" s="37">
        <f>IF(E69="","",E69)</f>
        <v/>
      </c>
    </row>
    <row r="70" ht="115" customHeight="1">
      <c r="B70" s="16" t="inlineStr">
        <is>
          <t>EG-Q3</t>
        </is>
      </c>
      <c r="C70" s="26" t="inlineStr">
        <is>
          <t>Metrics and KPI Tracking</t>
        </is>
      </c>
      <c r="D70" s="18" t="inlineStr">
        <is>
          <t>How many of these KPI categories does your team actively track: (1) detection coverage (ATT&amp;CK %), (2) detection quality (FP/FN rates), (3) detection velocity (time to deploy new rules), (4) rule health (stale/broken rules), (5) analyst impact (alert-to-incident ratio)?
1 — None of these are tracked
2 — 1 category tracked
3 — 2-3 categories tracked with regular reporting
4 — 4-5 categories tracked with automated collection and dashboards
5 — All 5 categories plus additional metrics with trend analysis and benchmarking</t>
        </is>
      </c>
      <c r="E70" s="19" t="n"/>
      <c r="F70" s="20">
        <f>IF(E70="","",E70)</f>
        <v/>
      </c>
    </row>
    <row r="71" ht="115" customHeight="1">
      <c r="B71" s="34" t="inlineStr">
        <is>
          <t>EG-Q4</t>
        </is>
      </c>
      <c r="C71" s="35" t="inlineStr">
        <is>
          <t>Cross-Team Collaboration</t>
        </is>
      </c>
      <c r="D71" s="36" t="inlineStr">
        <is>
          <t>Rate the maturity of collaboration between detection engineering and other security teams (IR, threat intel, security engineering).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1" s="19" t="n"/>
      <c r="F71" s="37">
        <f>IF(E71="","",E71)</f>
        <v/>
      </c>
    </row>
  </sheetData>
  <mergeCells count="25">
    <mergeCell ref="B59:F59"/>
    <mergeCell ref="B66:F66"/>
    <mergeCell ref="B22:F22"/>
    <mergeCell ref="B56:F56"/>
    <mergeCell ref="D6:E6"/>
    <mergeCell ref="B48:F48"/>
    <mergeCell ref="B11:F11"/>
    <mergeCell ref="B42:F42"/>
    <mergeCell ref="B60:F60"/>
    <mergeCell ref="B67:F67"/>
    <mergeCell ref="B23:F23"/>
    <mergeCell ref="B14:F14"/>
    <mergeCell ref="B13:F13"/>
    <mergeCell ref="B57:F57"/>
    <mergeCell ref="A1:G1"/>
    <mergeCell ref="D7:E7"/>
    <mergeCell ref="B34:F34"/>
    <mergeCell ref="B10:F10"/>
    <mergeCell ref="D4:E4"/>
    <mergeCell ref="B49:F49"/>
    <mergeCell ref="D8:E8"/>
    <mergeCell ref="B33:F33"/>
    <mergeCell ref="D5:E5"/>
    <mergeCell ref="A2:G2"/>
    <mergeCell ref="B41:F41"/>
  </mergeCells>
  <conditionalFormatting sqref="F13:F71">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8 E29 E38 E39 E51 E52 E64 E65" showDropDown="0" showInputMessage="0" showErrorMessage="0" allowBlank="1" errorTitle="Invalid Entry" error="Please select Yes or No" promptTitle="Answer" prompt="Select Yes or No" type="list">
      <formula1>"Yes,No"</formula1>
    </dataValidation>
    <dataValidation sqref="E15 E17 E18 E19 E24 E25 E26 E27 E30 E31 E32 E35 E36 E37 E40 E43 E44 E45 E46 E47 E50 E53 E54 E61 E62 E63 E68 E69 E70 E71"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G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s>
  <sheetData>
    <row r="1" ht="56" customHeight="1">
      <c r="A1" s="1" t="inlineStr">
        <is>
          <t xml:space="preserve">  DEBMM Assessment Results</t>
        </is>
      </c>
      <c r="B1" s="2" t="n"/>
      <c r="C1" s="2" t="n"/>
      <c r="D1" s="2" t="n"/>
      <c r="E1" s="2" t="n"/>
      <c r="F1" s="2" t="n"/>
      <c r="G1" s="2" t="n"/>
    </row>
    <row r="2" ht="24" customHeight="1">
      <c r="A2" s="3">
        <f>"  "&amp;Assessment!D4</f>
        <v/>
      </c>
      <c r="B2" s="4" t="n"/>
      <c r="C2" s="4" t="n"/>
      <c r="D2" s="4" t="n"/>
      <c r="E2" s="4" t="n"/>
      <c r="F2" s="4" t="n"/>
      <c r="G2" s="4" t="n"/>
    </row>
    <row r="5" ht="22" customHeight="1">
      <c r="B5" s="39" t="inlineStr">
        <is>
          <t>Overall Maturity Score</t>
        </is>
      </c>
      <c r="C5" s="40" t="n"/>
      <c r="D5" s="39" t="inlineStr">
        <is>
          <t>Achieved DEBMM Tier</t>
        </is>
      </c>
      <c r="E5" s="40" t="n"/>
      <c r="F5" s="39" t="inlineStr">
        <is>
          <t>Completion</t>
        </is>
      </c>
    </row>
    <row r="6" ht="60" customHeight="1">
      <c r="B6" s="41">
        <f>IF(COUNT(D13,D14,D15,D16,D18,D19,D20,D21,D22,D23,D25,D26,D27,D29,D30,D31,D33,D34,D40,D41,D42,D44,D45,D46)=0,"",ROUND(AVERAGE(D13,D14,D15,D16,D18,D19,D20,D21,D22,D23,D25,D26,D27,D29,D30,D31,D33,D34,D40,D41,D42,D44,D45,D46),2)&amp;" / 5.0")</f>
        <v/>
      </c>
      <c r="C6" s="42" t="n"/>
      <c r="D6" s="43">
        <f>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AND(ISNUMBER(D33),D33&gt;=3,ISNUMBER(D34),D34&gt;=3)),"Tier 4: Expert",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Tier 3: Advanced",IF(AND(AND(ISNUMBER(D13),D13&gt;=3,ISNUMBER(D14),D14&gt;=3,ISNUMBER(D15),D15&gt;=3,ISNUMBER(D16),D16&gt;=3),AND(ISNUMBER(D18),D18&gt;=3,ISNUMBER(D19),D19&gt;=3,ISNUMBER(D20),D20&gt;=3,ISNUMBER(D21),D21&gt;=3,ISNUMBER(D22),D22&gt;=3,ISNUMBER(D23),D23&gt;=3),AND(ISNUMBER(D25),D25&gt;=3,ISNUMBER(D26),D26&gt;=3,ISNUMBER(D27),D27&gt;=3)),"Tier 2: Intermediate",IF(AND(AND(ISNUMBER(D13),D13&gt;=3,ISNUMBER(D14),D14&gt;=3,ISNUMBER(D15),D15&gt;=3,ISNUMBER(D16),D16&gt;=3),AND(ISNUMBER(D18),D18&gt;=3,ISNUMBER(D19),D19&gt;=3,ISNUMBER(D20),D20&gt;=3,ISNUMBER(D21),D21&gt;=3,ISNUMBER(D22),D22&gt;=3,ISNUMBER(D23),D23&gt;=3)),"Tier 1: Basic",IF(AND(AND(ISNUMBER(D13),D13&gt;=3,ISNUMBER(D14),D14&gt;=3,ISNUMBER(D15),D15&gt;=3,ISNUMBER(D16),D16&gt;=3)),"Tier 0: Foundation","Below Foundation")))))</f>
        <v/>
      </c>
      <c r="E6" s="42" t="n"/>
      <c r="F6" s="43">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row>
    <row r="7" ht="8" customHeight="1"/>
    <row r="8" ht="62" customHeight="1">
      <c r="B8" s="44">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7" t="n"/>
      <c r="D8" s="27" t="n"/>
      <c r="E8" s="27" t="n"/>
      <c r="F8" s="27" t="n"/>
    </row>
    <row r="10" ht="30" customHeight="1">
      <c r="B10" s="15" t="inlineStr">
        <is>
          <t xml:space="preserve">  DEBMM CORE ASSESSMENT</t>
        </is>
      </c>
      <c r="C10" s="4" t="n"/>
      <c r="D10" s="4" t="n"/>
      <c r="E10" s="4" t="n"/>
      <c r="F10" s="4" t="n"/>
    </row>
    <row r="11" ht="24" customHeight="1">
      <c r="C11" s="14" t="inlineStr">
        <is>
          <t>Category / Criterion</t>
        </is>
      </c>
      <c r="D11" s="14" t="inlineStr">
        <is>
          <t>Score</t>
        </is>
      </c>
      <c r="E11" s="14" t="inlineStr">
        <is>
          <t>Level</t>
        </is>
      </c>
      <c r="F11" s="14" t="inlineStr">
        <is>
          <t>Status</t>
        </is>
      </c>
    </row>
    <row r="12" ht="28" customHeight="1">
      <c r="C12" s="45" t="inlineStr">
        <is>
          <t>Foundation</t>
        </is>
      </c>
      <c r="D12" s="46">
        <f>IF(COUNT(D13,D14,D15,D16)=0,"",AVERAGE(D13,D14,D15,D16))</f>
        <v/>
      </c>
      <c r="E12" s="47">
        <f>IF(D12="","",IF(D12&gt;=4.5,"Optimized",IF(D12&gt;=3.5,"Managed",IF(D12&gt;=2.5,"Defined",IF(D12&gt;=1.5,"Repeatable","Initial")))))</f>
        <v/>
      </c>
      <c r="F12" s="47">
        <f>IF(D12="","",IF(D12&gt;=3,"✓ Pass","✗ Below Target"))</f>
        <v/>
      </c>
    </row>
    <row r="13">
      <c r="C13" s="48" t="inlineStr">
        <is>
          <t xml:space="preserve">    Structured Rule Development Approach</t>
        </is>
      </c>
      <c r="D13" s="49">
        <f>IF(COUNT(Assessment!F15,Assessment!F16)=0,"",AVERAGE(Assessment!F15,Assessment!F16))</f>
        <v/>
      </c>
      <c r="E13" s="50">
        <f>IF(D13="","",IF(D13&gt;=4.5,"Optimized",IF(D13&gt;=3.5,"Managed",IF(D13&gt;=2.5,"Defined",IF(D13&gt;=1.5,"Repeatable","Initial")))))</f>
        <v/>
      </c>
      <c r="F13" s="50">
        <f>IF(D13="","",IF(D13&gt;=3,"✓ Pass","✗ Below Target"))</f>
        <v/>
      </c>
    </row>
    <row r="14">
      <c r="C14" s="48" t="inlineStr">
        <is>
          <t xml:space="preserve">    Rule Creation and Maintenance</t>
        </is>
      </c>
      <c r="D14" s="49">
        <f>IF(COUNT(Assessment!F17)=0,"",AVERAGE(Assessment!F17))</f>
        <v/>
      </c>
      <c r="E14" s="50">
        <f>IF(D14="","",IF(D14&gt;=4.5,"Optimized",IF(D14&gt;=3.5,"Managed",IF(D14&gt;=2.5,"Defined",IF(D14&gt;=1.5,"Repeatable","Initial")))))</f>
        <v/>
      </c>
      <c r="F14" s="50">
        <f>IF(D14="","",IF(D14&gt;=3,"✓ Pass","✗ Below Target"))</f>
        <v/>
      </c>
    </row>
    <row r="15">
      <c r="C15" s="48" t="inlineStr">
        <is>
          <t xml:space="preserve">    Roadmap Documentation</t>
        </is>
      </c>
      <c r="D15" s="49">
        <f>IF(COUNT(Assessment!F18)=0,"",AVERAGE(Assessment!F18))</f>
        <v/>
      </c>
      <c r="E15" s="50">
        <f>IF(D15="","",IF(D15&gt;=4.5,"Optimized",IF(D15&gt;=3.5,"Managed",IF(D15&gt;=2.5,"Defined",IF(D15&gt;=1.5,"Repeatable","Initial")))))</f>
        <v/>
      </c>
      <c r="F15" s="50">
        <f>IF(D15="","",IF(D15&gt;=3,"✓ Pass","✗ Below Target"))</f>
        <v/>
      </c>
    </row>
    <row r="16">
      <c r="C16" s="48" t="inlineStr">
        <is>
          <t xml:space="preserve">    Threat Modeling</t>
        </is>
      </c>
      <c r="D16" s="49">
        <f>IF(COUNT(Assessment!F19,Assessment!F20,Assessment!F21)=0,"",AVERAGE(Assessment!F19,Assessment!F20,Assessment!F21))</f>
        <v/>
      </c>
      <c r="E16" s="50">
        <f>IF(D16="","",IF(D16&gt;=4.5,"Optimized",IF(D16&gt;=3.5,"Managed",IF(D16&gt;=2.5,"Defined",IF(D16&gt;=1.5,"Repeatable","Initial")))))</f>
        <v/>
      </c>
      <c r="F16" s="50">
        <f>IF(D16="","",IF(D16&gt;=3,"✓ Pass","✗ Below Target"))</f>
        <v/>
      </c>
    </row>
    <row r="17" ht="28" customHeight="1">
      <c r="C17" s="45" t="inlineStr">
        <is>
          <t>Basic</t>
        </is>
      </c>
      <c r="D17" s="46">
        <f>IF(COUNT(D18,D19,D20,D21,D22,D23)=0,"",AVERAGE(D18,D19,D20,D21,D22,D23))</f>
        <v/>
      </c>
      <c r="E17" s="47">
        <f>IF(D17="","",IF(D17&gt;=4.5,"Optimized",IF(D17&gt;=3.5,"Managed",IF(D17&gt;=2.5,"Defined",IF(D17&gt;=1.5,"Repeatable","Initial")))))</f>
        <v/>
      </c>
      <c r="F17" s="47">
        <f>IF(D17="","",IF(D17&gt;=3,"✓ Pass","✗ Below Target"))</f>
        <v/>
      </c>
    </row>
    <row r="18">
      <c r="C18" s="48" t="inlineStr">
        <is>
          <t xml:space="preserve">    Baseline Rule Creation</t>
        </is>
      </c>
      <c r="D18" s="49">
        <f>IF(COUNT(Assessment!F24,Assessment!F25)=0,"",AVERAGE(Assessment!F24,Assessment!F25))</f>
        <v/>
      </c>
      <c r="E18" s="50">
        <f>IF(D18="","",IF(D18&gt;=4.5,"Optimized",IF(D18&gt;=3.5,"Managed",IF(D18&gt;=2.5,"Defined",IF(D18&gt;=1.5,"Repeatable","Initial")))))</f>
        <v/>
      </c>
      <c r="F18" s="50">
        <f>IF(D18="","",IF(D18&gt;=3,"✓ Pass","✗ Below Target"))</f>
        <v/>
      </c>
    </row>
    <row r="19">
      <c r="C19" s="48" t="inlineStr">
        <is>
          <t xml:space="preserve">    Ruleset Management and Maintenance</t>
        </is>
      </c>
      <c r="D19" s="49">
        <f>IF(COUNT(Assessment!F26)=0,"",AVERAGE(Assessment!F26))</f>
        <v/>
      </c>
      <c r="E19" s="50">
        <f>IF(D19="","",IF(D19&gt;=4.5,"Optimized",IF(D19&gt;=3.5,"Managed",IF(D19&gt;=2.5,"Defined",IF(D19&gt;=1.5,"Repeatable","Initial")))))</f>
        <v/>
      </c>
      <c r="F19" s="50">
        <f>IF(D19="","",IF(D19&gt;=3,"✓ Pass","✗ Below Target"))</f>
        <v/>
      </c>
    </row>
    <row r="20">
      <c r="C20" s="48" t="inlineStr">
        <is>
          <t xml:space="preserve">    Telemetry Quality</t>
        </is>
      </c>
      <c r="D20" s="49">
        <f>IF(COUNT(Assessment!F27,Assessment!F28,Assessment!F29)=0,"",AVERAGE(Assessment!F27,Assessment!F28,Assessment!F29))</f>
        <v/>
      </c>
      <c r="E20" s="50">
        <f>IF(D20="","",IF(D20&gt;=4.5,"Optimized",IF(D20&gt;=3.5,"Managed",IF(D20&gt;=2.5,"Defined",IF(D20&gt;=1.5,"Repeatable","Initial")))))</f>
        <v/>
      </c>
      <c r="F20" s="50">
        <f>IF(D20="","",IF(D20&gt;=3,"✓ Pass","✗ Below Target"))</f>
        <v/>
      </c>
    </row>
    <row r="21">
      <c r="C21" s="48" t="inlineStr">
        <is>
          <t xml:space="preserve">    Threat Landscape Review</t>
        </is>
      </c>
      <c r="D21" s="49">
        <f>IF(COUNT(Assessment!F30)=0,"",AVERAGE(Assessment!F30))</f>
        <v/>
      </c>
      <c r="E21" s="50">
        <f>IF(D21="","",IF(D21&gt;=4.5,"Optimized",IF(D21&gt;=3.5,"Managed",IF(D21&gt;=2.5,"Defined",IF(D21&gt;=1.5,"Repeatable","Initial")))))</f>
        <v/>
      </c>
      <c r="F21" s="50">
        <f>IF(D21="","",IF(D21&gt;=3,"✓ Pass","✗ Below Target"))</f>
        <v/>
      </c>
    </row>
    <row r="22">
      <c r="C22" s="48" t="inlineStr">
        <is>
          <t xml:space="preserve">    Product Owner Engagement</t>
        </is>
      </c>
      <c r="D22" s="49">
        <f>IF(COUNT(Assessment!F31)=0,"",AVERAGE(Assessment!F31))</f>
        <v/>
      </c>
      <c r="E22" s="50">
        <f>IF(D22="","",IF(D22&gt;=4.5,"Optimized",IF(D22&gt;=3.5,"Managed",IF(D22&gt;=2.5,"Defined",IF(D22&gt;=1.5,"Repeatable","Initial")))))</f>
        <v/>
      </c>
      <c r="F22" s="50">
        <f>IF(D22="","",IF(D22&gt;=3,"✓ Pass","✗ Below Target"))</f>
        <v/>
      </c>
    </row>
    <row r="23">
      <c r="C23" s="48" t="inlineStr">
        <is>
          <t xml:space="preserve">    Release Testing and Validation</t>
        </is>
      </c>
      <c r="D23" s="49">
        <f>IF(COUNT(Assessment!F32)=0,"",AVERAGE(Assessment!F32))</f>
        <v/>
      </c>
      <c r="E23" s="50">
        <f>IF(D23="","",IF(D23&gt;=4.5,"Optimized",IF(D23&gt;=3.5,"Managed",IF(D23&gt;=2.5,"Defined",IF(D23&gt;=1.5,"Repeatable","Initial")))))</f>
        <v/>
      </c>
      <c r="F23" s="50">
        <f>IF(D23="","",IF(D23&gt;=3,"✓ Pass","✗ Below Target"))</f>
        <v/>
      </c>
    </row>
    <row r="24" ht="28" customHeight="1">
      <c r="C24" s="45" t="inlineStr">
        <is>
          <t>Intermediate</t>
        </is>
      </c>
      <c r="D24" s="46">
        <f>IF(COUNT(D25,D26,D27)=0,"",AVERAGE(D25,D26,D27))</f>
        <v/>
      </c>
      <c r="E24" s="47">
        <f>IF(D24="","",IF(D24&gt;=4.5,"Optimized",IF(D24&gt;=3.5,"Managed",IF(D24&gt;=2.5,"Defined",IF(D24&gt;=1.5,"Repeatable","Initial")))))</f>
        <v/>
      </c>
      <c r="F24" s="47">
        <f>IF(D24="","",IF(D24&gt;=3,"✓ Pass","✗ Below Target"))</f>
        <v/>
      </c>
    </row>
    <row r="25">
      <c r="C25" s="48" t="inlineStr">
        <is>
          <t xml:space="preserve">    False Positive Tuning and Reduction</t>
        </is>
      </c>
      <c r="D25" s="49">
        <f>IF(COUNT(Assessment!F35,Assessment!F36)=0,"",AVERAGE(Assessment!F35,Assessment!F36))</f>
        <v/>
      </c>
      <c r="E25" s="50">
        <f>IF(D25="","",IF(D25&gt;=4.5,"Optimized",IF(D25&gt;=3.5,"Managed",IF(D25&gt;=2.5,"Defined",IF(D25&gt;=1.5,"Repeatable","Initial")))))</f>
        <v/>
      </c>
      <c r="F25" s="50">
        <f>IF(D25="","",IF(D25&gt;=3,"✓ Pass","✗ Below Target"))</f>
        <v/>
      </c>
    </row>
    <row r="26">
      <c r="C26" s="48" t="inlineStr">
        <is>
          <t xml:space="preserve">    Gap Analysis and Documentation</t>
        </is>
      </c>
      <c r="D26" s="49">
        <f>IF(COUNT(Assessment!F37,Assessment!F38,Assessment!F39)=0,"",AVERAGE(Assessment!F37,Assessment!F38,Assessment!F39))</f>
        <v/>
      </c>
      <c r="E26" s="50">
        <f>IF(D26="","",IF(D26&gt;=4.5,"Optimized",IF(D26&gt;=3.5,"Managed",IF(D26&gt;=2.5,"Defined",IF(D26&gt;=1.5,"Repeatable","Initial")))))</f>
        <v/>
      </c>
      <c r="F26" s="50">
        <f>IF(D26="","",IF(D26&gt;=3,"✓ Pass","✗ Below Target"))</f>
        <v/>
      </c>
    </row>
    <row r="27">
      <c r="C27" s="48" t="inlineStr">
        <is>
          <t xml:space="preserve">    Internal Testing and Validation</t>
        </is>
      </c>
      <c r="D27" s="49">
        <f>IF(COUNT(Assessment!F40)=0,"",AVERAGE(Assessment!F40))</f>
        <v/>
      </c>
      <c r="E27" s="50">
        <f>IF(D27="","",IF(D27&gt;=4.5,"Optimized",IF(D27&gt;=3.5,"Managed",IF(D27&gt;=2.5,"Defined",IF(D27&gt;=1.5,"Repeatable","Initial")))))</f>
        <v/>
      </c>
      <c r="F27" s="50">
        <f>IF(D27="","",IF(D27&gt;=3,"✓ Pass","✗ Below Target"))</f>
        <v/>
      </c>
    </row>
    <row r="28" ht="28" customHeight="1">
      <c r="C28" s="45" t="inlineStr">
        <is>
          <t>Advanced</t>
        </is>
      </c>
      <c r="D28" s="46">
        <f>IF(COUNT(D29,D30,D31)=0,"",AVERAGE(D29,D30,D31))</f>
        <v/>
      </c>
      <c r="E28" s="47">
        <f>IF(D28="","",IF(D28&gt;=4.5,"Optimized",IF(D28&gt;=3.5,"Managed",IF(D28&gt;=2.5,"Defined",IF(D28&gt;=1.5,"Repeatable","Initial")))))</f>
        <v/>
      </c>
      <c r="F28" s="47">
        <f>IF(D28="","",IF(D28&gt;=3,"✓ Pass","✗ Below Target"))</f>
        <v/>
      </c>
    </row>
    <row r="29">
      <c r="C29" s="48" t="inlineStr">
        <is>
          <t xml:space="preserve">    False Negative Triage</t>
        </is>
      </c>
      <c r="D29" s="49">
        <f>IF(COUNT(Assessment!F43,Assessment!F44)=0,"",AVERAGE(Assessment!F43,Assessment!F44))</f>
        <v/>
      </c>
      <c r="E29" s="50">
        <f>IF(D29="","",IF(D29&gt;=4.5,"Optimized",IF(D29&gt;=3.5,"Managed",IF(D29&gt;=2.5,"Defined",IF(D29&gt;=1.5,"Repeatable","Initial")))))</f>
        <v/>
      </c>
      <c r="F29" s="50">
        <f>IF(D29="","",IF(D29&gt;=3,"✓ Pass","✗ Below Target"))</f>
        <v/>
      </c>
    </row>
    <row r="30">
      <c r="C30" s="48" t="inlineStr">
        <is>
          <t xml:space="preserve">    External Validation</t>
        </is>
      </c>
      <c r="D30" s="49">
        <f>IF(COUNT(Assessment!F45)=0,"",AVERAGE(Assessment!F45))</f>
        <v/>
      </c>
      <c r="E30" s="50">
        <f>IF(D30="","",IF(D30&gt;=4.5,"Optimized",IF(D30&gt;=3.5,"Managed",IF(D30&gt;=2.5,"Defined",IF(D30&gt;=1.5,"Repeatable","Initial")))))</f>
        <v/>
      </c>
      <c r="F30" s="50">
        <f>IF(D30="","",IF(D30&gt;=3,"✓ Pass","✗ Below Target"))</f>
        <v/>
      </c>
    </row>
    <row r="31">
      <c r="C31" s="48" t="inlineStr">
        <is>
          <t xml:space="preserve">    Advanced TTP Coverage</t>
        </is>
      </c>
      <c r="D31" s="49">
        <f>IF(COUNT(Assessment!F46,Assessment!F47)=0,"",AVERAGE(Assessment!F46,Assessment!F47))</f>
        <v/>
      </c>
      <c r="E31" s="50">
        <f>IF(D31="","",IF(D31&gt;=4.5,"Optimized",IF(D31&gt;=3.5,"Managed",IF(D31&gt;=2.5,"Defined",IF(D31&gt;=1.5,"Repeatable","Initial")))))</f>
        <v/>
      </c>
      <c r="F31" s="50">
        <f>IF(D31="","",IF(D31&gt;=3,"✓ Pass","✗ Below Target"))</f>
        <v/>
      </c>
    </row>
    <row r="32" ht="28" customHeight="1">
      <c r="C32" s="45" t="inlineStr">
        <is>
          <t>Expert</t>
        </is>
      </c>
      <c r="D32" s="46">
        <f>IF(COUNT(D33,D34)=0,"",AVERAGE(D33,D34))</f>
        <v/>
      </c>
      <c r="E32" s="47">
        <f>IF(D32="","",IF(D32&gt;=4.5,"Optimized",IF(D32&gt;=3.5,"Managed",IF(D32&gt;=2.5,"Defined",IF(D32&gt;=1.5,"Repeatable","Initial")))))</f>
        <v/>
      </c>
      <c r="F32" s="47">
        <f>IF(D32="","",IF(D32&gt;=3,"✓ Pass","✗ Below Target"))</f>
        <v/>
      </c>
    </row>
    <row r="33">
      <c r="C33" s="48" t="inlineStr">
        <is>
          <t xml:space="preserve">    Threat Hunting in Telemetry</t>
        </is>
      </c>
      <c r="D33" s="49">
        <f>IF(COUNT(Assessment!F50,Assessment!F51,Assessment!F52)=0,"",AVERAGE(Assessment!F50,Assessment!F51,Assessment!F52))</f>
        <v/>
      </c>
      <c r="E33" s="50">
        <f>IF(D33="","",IF(D33&gt;=4.5,"Optimized",IF(D33&gt;=3.5,"Managed",IF(D33&gt;=2.5,"Defined",IF(D33&gt;=1.5,"Repeatable","Initial")))))</f>
        <v/>
      </c>
      <c r="F33" s="50">
        <f>IF(D33="","",IF(D33&gt;=3,"✓ Pass","✗ Below Target"))</f>
        <v/>
      </c>
    </row>
    <row r="34">
      <c r="C34" s="48" t="inlineStr">
        <is>
          <t xml:space="preserve">    Automation and Continuous Improvement</t>
        </is>
      </c>
      <c r="D34" s="49">
        <f>IF(COUNT(Assessment!F53,Assessment!F54)=0,"",AVERAGE(Assessment!F53,Assessment!F54))</f>
        <v/>
      </c>
      <c r="E34" s="50">
        <f>IF(D34="","",IF(D34&gt;=4.5,"Optimized",IF(D34&gt;=3.5,"Managed",IF(D34&gt;=2.5,"Defined",IF(D34&gt;=1.5,"Repeatable","Initial")))))</f>
        <v/>
      </c>
      <c r="F34" s="50">
        <f>IF(D34="","",IF(D34&gt;=3,"✓ Pass","✗ Below Target"))</f>
        <v/>
      </c>
    </row>
    <row r="35" ht="14" customHeight="1">
      <c r="A35" s="27" t="n"/>
      <c r="B35" s="27" t="n"/>
      <c r="C35" s="27" t="n"/>
      <c r="D35" s="27" t="n"/>
      <c r="E35" s="27" t="n"/>
      <c r="F35" s="27" t="n"/>
      <c r="G35" s="27" t="n"/>
    </row>
    <row r="36" ht="30" customHeight="1">
      <c r="B36" s="32" t="inlineStr">
        <is>
          <t xml:space="preserve">  SUPPLEMENTARY DIMENSIONS</t>
        </is>
      </c>
      <c r="C36" s="33" t="n"/>
      <c r="D36" s="33" t="n"/>
      <c r="E36" s="33" t="n"/>
      <c r="F36" s="33" t="n"/>
    </row>
    <row r="37" ht="20" customHeight="1">
      <c r="B37" s="30" t="inlineStr">
        <is>
          <t>Organizational readiness factors — do not affect DEBMM tier determination</t>
        </is>
      </c>
      <c r="C37" s="29" t="n"/>
      <c r="D37" s="29" t="n"/>
      <c r="E37" s="29" t="n"/>
      <c r="F37" s="29" t="n"/>
    </row>
    <row r="38" ht="24" customHeight="1">
      <c r="C38" s="31" t="inlineStr">
        <is>
          <t>Category / Criterion</t>
        </is>
      </c>
      <c r="D38" s="31" t="inlineStr">
        <is>
          <t>Score</t>
        </is>
      </c>
      <c r="E38" s="31" t="inlineStr">
        <is>
          <t>Level</t>
        </is>
      </c>
      <c r="F38" s="31" t="inlineStr">
        <is>
          <t>Status</t>
        </is>
      </c>
    </row>
    <row r="39" ht="28" customHeight="1">
      <c r="C39" s="51" t="inlineStr">
        <is>
          <t>People &amp; Organization</t>
        </is>
      </c>
      <c r="D39" s="52">
        <f>IF(COUNT(D40,D41,D42)=0,"",AVERAGE(D40,D41,D42))</f>
        <v/>
      </c>
      <c r="E39" s="53">
        <f>IF(D39="","",IF(D39&gt;=4.5,"Optimized",IF(D39&gt;=3.5,"Managed",IF(D39&gt;=2.5,"Defined",IF(D39&gt;=1.5,"Repeatable","Initial")))))</f>
        <v/>
      </c>
      <c r="F39" s="53">
        <f>IF(D39="","",IF(D39&gt;=3,"✓ Pass","✗ Below Target"))</f>
        <v/>
      </c>
    </row>
    <row r="40">
      <c r="C40" s="48" t="inlineStr">
        <is>
          <t xml:space="preserve">    Team Structure and Dedicated Roles</t>
        </is>
      </c>
      <c r="D40" s="49">
        <f>IF(COUNT(Assessment!F61)=0,"",AVERAGE(Assessment!F61))</f>
        <v/>
      </c>
      <c r="E40" s="50">
        <f>IF(D40="","",IF(D40&gt;=4.5,"Optimized",IF(D40&gt;=3.5,"Managed",IF(D40&gt;=2.5,"Defined",IF(D40&gt;=1.5,"Repeatable","Initial")))))</f>
        <v/>
      </c>
      <c r="F40" s="50">
        <f>IF(D40="","",IF(D40&gt;=3,"✓ Pass","✗ Below Target"))</f>
        <v/>
      </c>
    </row>
    <row r="41">
      <c r="C41" s="48" t="inlineStr">
        <is>
          <t xml:space="preserve">    Skills Development and Training</t>
        </is>
      </c>
      <c r="D41" s="49">
        <f>IF(COUNT(Assessment!F62)=0,"",AVERAGE(Assessment!F62))</f>
        <v/>
      </c>
      <c r="E41" s="50">
        <f>IF(D41="","",IF(D41&gt;=4.5,"Optimized",IF(D41&gt;=3.5,"Managed",IF(D41&gt;=2.5,"Defined",IF(D41&gt;=1.5,"Repeatable","Initial")))))</f>
        <v/>
      </c>
      <c r="F41" s="50">
        <f>IF(D41="","",IF(D41&gt;=3,"✓ Pass","✗ Below Target"))</f>
        <v/>
      </c>
    </row>
    <row r="42">
      <c r="C42" s="48" t="inlineStr">
        <is>
          <t xml:space="preserve">    Leadership Commitment and Executive Sponsorship</t>
        </is>
      </c>
      <c r="D42" s="49">
        <f>IF(COUNT(Assessment!F63,Assessment!F64,Assessment!F65)=0,"",AVERAGE(Assessment!F63,Assessment!F64,Assessment!F65))</f>
        <v/>
      </c>
      <c r="E42" s="50">
        <f>IF(D42="","",IF(D42&gt;=4.5,"Optimized",IF(D42&gt;=3.5,"Managed",IF(D42&gt;=2.5,"Defined",IF(D42&gt;=1.5,"Repeatable","Initial")))))</f>
        <v/>
      </c>
      <c r="F42" s="50">
        <f>IF(D42="","",IF(D42&gt;=3,"✓ Pass","✗ Below Target"))</f>
        <v/>
      </c>
    </row>
    <row r="43" ht="28" customHeight="1">
      <c r="C43" s="51" t="inlineStr">
        <is>
          <t>Process &amp; Governance</t>
        </is>
      </c>
      <c r="D43" s="52">
        <f>IF(COUNT(D44,D45,D46)=0,"",AVERAGE(D44,D45,D46))</f>
        <v/>
      </c>
      <c r="E43" s="53">
        <f>IF(D43="","",IF(D43&gt;=4.5,"Optimized",IF(D43&gt;=3.5,"Managed",IF(D43&gt;=2.5,"Defined",IF(D43&gt;=1.5,"Repeatable","Initial")))))</f>
        <v/>
      </c>
      <c r="F43" s="53">
        <f>IF(D43="","",IF(D43&gt;=3,"✓ Pass","✗ Below Target"))</f>
        <v/>
      </c>
    </row>
    <row r="44">
      <c r="C44" s="48" t="inlineStr">
        <is>
          <t xml:space="preserve">    Detection Lifecycle Workflow</t>
        </is>
      </c>
      <c r="D44" s="49">
        <f>IF(COUNT(Assessment!F68)=0,"",AVERAGE(Assessment!F68))</f>
        <v/>
      </c>
      <c r="E44" s="50">
        <f>IF(D44="","",IF(D44&gt;=4.5,"Optimized",IF(D44&gt;=3.5,"Managed",IF(D44&gt;=2.5,"Defined",IF(D44&gt;=1.5,"Repeatable","Initial")))))</f>
        <v/>
      </c>
      <c r="F44" s="50">
        <f>IF(D44="","",IF(D44&gt;=3,"✓ Pass","✗ Below Target"))</f>
        <v/>
      </c>
    </row>
    <row r="45">
      <c r="C45" s="48" t="inlineStr">
        <is>
          <t xml:space="preserve">    Metrics and KPI Tracking</t>
        </is>
      </c>
      <c r="D45" s="49">
        <f>IF(COUNT(Assessment!F69,Assessment!F70)=0,"",AVERAGE(Assessment!F69,Assessment!F70))</f>
        <v/>
      </c>
      <c r="E45" s="50">
        <f>IF(D45="","",IF(D45&gt;=4.5,"Optimized",IF(D45&gt;=3.5,"Managed",IF(D45&gt;=2.5,"Defined",IF(D45&gt;=1.5,"Repeatable","Initial")))))</f>
        <v/>
      </c>
      <c r="F45" s="50">
        <f>IF(D45="","",IF(D45&gt;=3,"✓ Pass","✗ Below Target"))</f>
        <v/>
      </c>
    </row>
    <row r="46">
      <c r="C46" s="48" t="inlineStr">
        <is>
          <t xml:space="preserve">    Cross-Team Collaboration</t>
        </is>
      </c>
      <c r="D46" s="49">
        <f>IF(COUNT(Assessment!F71)=0,"",AVERAGE(Assessment!F71))</f>
        <v/>
      </c>
      <c r="E46" s="50">
        <f>IF(D46="","",IF(D46&gt;=4.5,"Optimized",IF(D46&gt;=3.5,"Managed",IF(D46&gt;=2.5,"Defined",IF(D46&gt;=1.5,"Repeatable","Initial")))))</f>
        <v/>
      </c>
      <c r="F46" s="50">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9"/>
  <sheetViews>
    <sheetView workbookViewId="0">
      <pane ySplit="2" topLeftCell="A3" activePane="bottomLeft" state="frozen"/>
      <selection pane="bottomLeft" activeCell="A1" sqref="A1"/>
    </sheetView>
  </sheetViews>
  <sheetFormatPr baseColWidth="8" defaultRowHeight="15"/>
  <cols>
    <col width="3" customWidth="1" min="1" max="1"/>
    <col width="22" customWidth="1" min="2" max="2"/>
    <col width="12" customWidth="1" min="3" max="3"/>
    <col width="3" customWidth="1" min="4" max="4"/>
  </cols>
  <sheetData>
    <row r="1" ht="48" customHeight="1">
      <c r="A1" s="1" t="inlineStr">
        <is>
          <t xml:space="preserve">  DEBMM Tier Scores</t>
        </is>
      </c>
      <c r="B1" s="2" t="n"/>
      <c r="C1" s="2" t="n"/>
      <c r="D1" s="2" t="n"/>
    </row>
    <row r="2" ht="22" customHeight="1">
      <c r="A2" s="3" t="inlineStr">
        <is>
          <t xml:space="preserve">  Average score per DEBMM core tier (target: 3.0)</t>
        </is>
      </c>
      <c r="B2" s="4" t="n"/>
      <c r="C2" s="4" t="n"/>
      <c r="D2" s="4" t="n"/>
    </row>
    <row r="4" ht="24" customHeight="1">
      <c r="B4" s="14" t="inlineStr">
        <is>
          <t>Tier</t>
        </is>
      </c>
      <c r="C4" s="14" t="inlineStr">
        <is>
          <t>Score</t>
        </is>
      </c>
    </row>
    <row r="5" ht="22" customHeight="1">
      <c r="B5" s="45" t="inlineStr">
        <is>
          <t>Foundation</t>
        </is>
      </c>
      <c r="C5" s="54">
        <f>'Results Dashboard'!D12</f>
        <v/>
      </c>
    </row>
    <row r="6" ht="22" customHeight="1">
      <c r="B6" s="45" t="inlineStr">
        <is>
          <t>Basic</t>
        </is>
      </c>
      <c r="C6" s="54">
        <f>'Results Dashboard'!D17</f>
        <v/>
      </c>
    </row>
    <row r="7" ht="22" customHeight="1">
      <c r="B7" s="45" t="inlineStr">
        <is>
          <t>Intermediate</t>
        </is>
      </c>
      <c r="C7" s="54">
        <f>'Results Dashboard'!D24</f>
        <v/>
      </c>
    </row>
    <row r="8" ht="22" customHeight="1">
      <c r="B8" s="45" t="inlineStr">
        <is>
          <t>Advanced</t>
        </is>
      </c>
      <c r="C8" s="54">
        <f>'Results Dashboard'!D28</f>
        <v/>
      </c>
    </row>
    <row r="9" ht="22" customHeight="1">
      <c r="B9" s="45" t="inlineStr">
        <is>
          <t>Expert</t>
        </is>
      </c>
      <c r="C9" s="54">
        <f>'Results Dashboard'!D32</f>
        <v/>
      </c>
    </row>
  </sheetData>
  <mergeCells count="2">
    <mergeCell ref="A1:D1"/>
    <mergeCell ref="A2:D2"/>
  </mergeCells>
  <conditionalFormatting sqref="C5">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C6">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conditionalFormatting sqref="C7">
    <cfRule type="cellIs" priority="9" operator="between" dxfId="0">
      <formula>1</formula>
      <formula>1.49</formula>
    </cfRule>
    <cfRule type="cellIs" priority="10" operator="between" dxfId="1">
      <formula>1.5</formula>
      <formula>2.49</formula>
    </cfRule>
    <cfRule type="cellIs" priority="11" operator="between" dxfId="2">
      <formula>2.5</formula>
      <formula>3.49</formula>
    </cfRule>
    <cfRule type="cellIs" priority="12" operator="between" dxfId="3">
      <formula>3.5</formula>
      <formula>5</formula>
    </cfRule>
  </conditionalFormatting>
  <conditionalFormatting sqref="C8">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conditionalFormatting sqref="C9">
    <cfRule type="cellIs" priority="17" operator="between" dxfId="0">
      <formula>1</formula>
      <formula>1.49</formula>
    </cfRule>
    <cfRule type="cellIs" priority="18" operator="between" dxfId="1">
      <formula>1.5</formula>
      <formula>2.49</formula>
    </cfRule>
    <cfRule type="cellIs" priority="19" operator="between" dxfId="2">
      <formula>2.5</formula>
      <formula>3.49</formula>
    </cfRule>
    <cfRule type="cellIs" priority="20" operator="between" dxfId="3">
      <formula>3.5</formula>
      <formula>5</formula>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0D7377"/>
    <outlinePr summaryBelow="1" summaryRight="1"/>
    <pageSetUpPr/>
  </sheetPr>
  <dimension ref="A1:D6"/>
  <sheetViews>
    <sheetView workbookViewId="0">
      <pane ySplit="2" topLeftCell="A3" activePane="bottomLeft" state="frozen"/>
      <selection pane="bottomLeft" activeCell="A1" sqref="A1"/>
    </sheetView>
  </sheetViews>
  <sheetFormatPr baseColWidth="8" defaultRowHeight="15"/>
  <cols>
    <col width="3" customWidth="1" min="1" max="1"/>
    <col width="30" customWidth="1" min="2" max="2"/>
    <col width="12" customWidth="1" min="3" max="3"/>
    <col width="3" customWidth="1" min="4" max="4"/>
  </cols>
  <sheetData>
    <row r="1" ht="48" customHeight="1">
      <c r="A1" s="1" t="inlineStr">
        <is>
          <t xml:space="preserve">  Organizational Readiness</t>
        </is>
      </c>
      <c r="B1" s="2" t="n"/>
      <c r="C1" s="2" t="n"/>
      <c r="D1" s="2" t="n"/>
    </row>
    <row r="2" ht="22" customHeight="1">
      <c r="A2" s="55" t="inlineStr">
        <is>
          <t xml:space="preserve">  Supplementary dimensions — do not affect DEBMM tier determination</t>
        </is>
      </c>
      <c r="B2" s="33" t="n"/>
      <c r="C2" s="33" t="n"/>
      <c r="D2" s="33" t="n"/>
    </row>
    <row r="4" ht="24" customHeight="1">
      <c r="B4" s="31" t="inlineStr">
        <is>
          <t>Dimension</t>
        </is>
      </c>
      <c r="C4" s="31" t="inlineStr">
        <is>
          <t>Score</t>
        </is>
      </c>
    </row>
    <row r="5" ht="22" customHeight="1">
      <c r="B5" s="51" t="inlineStr">
        <is>
          <t>People &amp; Organization</t>
        </is>
      </c>
      <c r="C5" s="54">
        <f>'Results Dashboard'!D39</f>
        <v/>
      </c>
    </row>
    <row r="6" ht="22" customHeight="1">
      <c r="B6" s="51" t="inlineStr">
        <is>
          <t>Process &amp; Governance</t>
        </is>
      </c>
      <c r="C6" s="54">
        <f>'Results Dashboard'!D43</f>
        <v/>
      </c>
    </row>
  </sheetData>
  <mergeCells count="2">
    <mergeCell ref="A1:D1"/>
    <mergeCell ref="A2:D2"/>
  </mergeCells>
  <conditionalFormatting sqref="C5">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C6">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6"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7" t="inlineStr">
        <is>
          <t>1 — Initial</t>
        </is>
      </c>
      <c r="B8" s="58" t="inlineStr">
        <is>
          <t>No structured approach to rule development. Rules are created randomly or reactively without any guiding methodology.</t>
        </is>
      </c>
      <c r="C8" s="58" t="inlineStr">
        <is>
          <t>0% of rules follow a formal development process.</t>
        </is>
      </c>
    </row>
    <row r="9" ht="42" customHeight="1">
      <c r="A9" s="59" t="inlineStr">
        <is>
          <t>2 — Repeatable</t>
        </is>
      </c>
      <c r="B9" s="60" t="inlineStr">
        <is>
          <t>Some rules follow a loose process, but it is inconsistently applied. Individual contributors may have personal workflows.</t>
        </is>
      </c>
      <c r="C9" s="60" t="inlineStr">
        <is>
          <t>&lt;30% of rules follow a documented development process.</t>
        </is>
      </c>
    </row>
    <row r="10" ht="42" customHeight="1">
      <c r="A10" s="61" t="inlineStr">
        <is>
          <t>3 — Defined</t>
        </is>
      </c>
      <c r="B10" s="62" t="inlineStr">
        <is>
          <t>A defined rule development methodology exists and is documented. Most new rules follow the standard process including peer review.</t>
        </is>
      </c>
      <c r="C10" s="62" t="inlineStr">
        <is>
          <t>50-70% of rules follow the documented process; schema alignment &gt;60%.</t>
        </is>
      </c>
    </row>
    <row r="11" ht="42" customHeight="1">
      <c r="A11" s="63" t="inlineStr">
        <is>
          <t>4 — Managed</t>
        </is>
      </c>
      <c r="B11" s="64" t="inlineStr">
        <is>
          <t>Rule development is standardized across the team with enforced workflows, templates, and quality gates. Deviations are tracked and addressed.</t>
        </is>
      </c>
      <c r="C11" s="64" t="inlineStr">
        <is>
          <t>80-90% schema alignment; all new rules go through formal review.</t>
        </is>
      </c>
    </row>
    <row r="12" ht="42" customHeight="1">
      <c r="A12" s="65" t="inlineStr">
        <is>
          <t>5 — Optimized</t>
        </is>
      </c>
      <c r="B12" s="66" t="inlineStr">
        <is>
          <t>Continuous improvement of the development process based on feedback loops. Process is fully integrated with CI/CD and automated quality checks.</t>
        </is>
      </c>
      <c r="C12" s="66"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7" t="inlineStr">
        <is>
          <t>1 — Initial</t>
        </is>
      </c>
      <c r="B16" s="58" t="inlineStr">
        <is>
          <t>Rules are created ad hoc with no maintenance schedule. Stale or broken rules accumulate over time.</t>
        </is>
      </c>
      <c r="C16" s="58" t="inlineStr">
        <is>
          <t>&lt;50% of rules reviewed annually.</t>
        </is>
      </c>
    </row>
    <row r="17" ht="42" customHeight="1">
      <c r="A17" s="59" t="inlineStr">
        <is>
          <t>2 — Repeatable</t>
        </is>
      </c>
      <c r="B17" s="60" t="inlineStr">
        <is>
          <t>Some rules are periodically reviewed, but there is no systematic maintenance process. Updates happen reactively.</t>
        </is>
      </c>
      <c r="C17" s="60" t="inlineStr">
        <is>
          <t>50-70% of rules reviewed annually; no formal peer review.</t>
        </is>
      </c>
    </row>
    <row r="18" ht="42" customHeight="1">
      <c r="A18" s="61" t="inlineStr">
        <is>
          <t>3 — Defined</t>
        </is>
      </c>
      <c r="B18" s="62" t="inlineStr">
        <is>
          <t>Regular rule review cycles are established. Rules have owners and defined review schedules. Peer review is standard practice.</t>
        </is>
      </c>
      <c r="C18" s="62" t="inlineStr">
        <is>
          <t>70-80% of rules reviewed on schedule; peer review on most changes.</t>
        </is>
      </c>
    </row>
    <row r="19" ht="42" customHeight="1">
      <c r="A19" s="63" t="inlineStr">
        <is>
          <t>4 — Managed</t>
        </is>
      </c>
      <c r="B19" s="64" t="inlineStr">
        <is>
          <t>Comprehensive rule lifecycle management with creation, testing, deployment, monitoring, and retirement processes. All changes are peer-reviewed.</t>
        </is>
      </c>
      <c r="C19" s="64" t="inlineStr">
        <is>
          <t>80-90% of rules reviewed on schedule; 100% peer review on changes.</t>
        </is>
      </c>
    </row>
    <row r="20" ht="42" customHeight="1">
      <c r="A20" s="65" t="inlineStr">
        <is>
          <t>5 — Optimized</t>
        </is>
      </c>
      <c r="B20" s="66" t="inlineStr">
        <is>
          <t>Continuous rule improvement with automated monitoring of rule health. Automated updates triggered by telemetry changes or threat intelligence.</t>
        </is>
      </c>
      <c r="C20" s="66"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7" t="inlineStr">
        <is>
          <t>1 — Initial</t>
        </is>
      </c>
      <c r="B24" s="58" t="inlineStr">
        <is>
          <t>No detection roadmap exists. Work is entirely reactive or driven by individual initiative.</t>
        </is>
      </c>
      <c r="C24" s="58" t="inlineStr">
        <is>
          <t>0% of detection work tied to a documented plan.</t>
        </is>
      </c>
    </row>
    <row r="25" ht="42" customHeight="1">
      <c r="A25" s="59" t="inlineStr">
        <is>
          <t>2 — Repeatable</t>
        </is>
      </c>
      <c r="B25" s="60" t="inlineStr">
        <is>
          <t>An informal roadmap or backlog exists but is not regularly maintained or communicated to stakeholders.</t>
        </is>
      </c>
      <c r="C25" s="60" t="inlineStr">
        <is>
          <t>&lt;30% of rules have scheduled review or development timelines.</t>
        </is>
      </c>
    </row>
    <row r="26" ht="42" customHeight="1">
      <c r="A26" s="61" t="inlineStr">
        <is>
          <t>3 — Defined</t>
        </is>
      </c>
      <c r="B26" s="62" t="inlineStr">
        <is>
          <t>A formal roadmap is documented, reviewed quarterly, and shared with relevant stakeholders. Priorities are clear.</t>
        </is>
      </c>
      <c r="C26" s="62" t="inlineStr">
        <is>
          <t>50-70% of planned work is tracked against the roadmap.</t>
        </is>
      </c>
    </row>
    <row r="27" ht="42" customHeight="1">
      <c r="A27" s="63" t="inlineStr">
        <is>
          <t>4 — Managed</t>
        </is>
      </c>
      <c r="B27" s="64" t="inlineStr">
        <is>
          <t>Roadmap is integrated with organizational security strategy. Progress is tracked with metrics and reported to leadership.</t>
        </is>
      </c>
      <c r="C27" s="64" t="inlineStr">
        <is>
          <t>70-90% of planned work tracked; quarterly roadmap reviews with leadership.</t>
        </is>
      </c>
    </row>
    <row r="28" ht="42" customHeight="1">
      <c r="A28" s="65" t="inlineStr">
        <is>
          <t>5 — Optimized</t>
        </is>
      </c>
      <c r="B28" s="66" t="inlineStr">
        <is>
          <t>Dynamic, continuously updated roadmap driven by threat intelligence, gap analysis, and organizational risk priorities.</t>
        </is>
      </c>
      <c r="C28" s="66"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7" t="inlineStr">
        <is>
          <t>1 — Initial</t>
        </is>
      </c>
      <c r="B32" s="58" t="inlineStr">
        <is>
          <t>No threat modeling is performed. Detection rules are not informed by a structured understanding of threats to the organization.</t>
        </is>
      </c>
      <c r="C32" s="58" t="inlineStr">
        <is>
          <t>Zero threat modeling exercises performed.</t>
        </is>
      </c>
    </row>
    <row r="33" ht="42" customHeight="1">
      <c r="A33" s="59" t="inlineStr">
        <is>
          <t>2 — Repeatable</t>
        </is>
      </c>
      <c r="B33" s="60" t="inlineStr">
        <is>
          <t>Occasional threat modeling exercises, typically triggered by incidents or major changes. Not regularly scheduled.</t>
        </is>
      </c>
      <c r="C33" s="60" t="inlineStr">
        <is>
          <t>&lt;1 formal threat modeling exercise per year.</t>
        </is>
      </c>
    </row>
    <row r="34" ht="42" customHeight="1">
      <c r="A34" s="61" t="inlineStr">
        <is>
          <t>3 — Defined</t>
        </is>
      </c>
      <c r="B34" s="62" t="inlineStr">
        <is>
          <t>Regular threat modeling exercises (at least quarterly) inform detection priorities. Results are documented and fed into the roadmap.</t>
        </is>
      </c>
      <c r="C34" s="62" t="inlineStr">
        <is>
          <t>Quarterly threat modeling exercises; results documented.</t>
        </is>
      </c>
    </row>
    <row r="35" ht="42" customHeight="1">
      <c r="A35" s="63" t="inlineStr">
        <is>
          <t>4 — Managed</t>
        </is>
      </c>
      <c r="B35" s="64" t="inlineStr">
        <is>
          <t>Threat modeling is integrated into the detection development lifecycle. New detections are prioritized based on threat model outputs.</t>
        </is>
      </c>
      <c r="C35" s="64" t="inlineStr">
        <is>
          <t>Monthly exercises; &gt;70% of new detections tied to threat model outputs.</t>
        </is>
      </c>
    </row>
    <row r="36" ht="42" customHeight="1">
      <c r="A36" s="65" t="inlineStr">
        <is>
          <t>5 — Optimized</t>
        </is>
      </c>
      <c r="B36" s="66" t="inlineStr">
        <is>
          <t>Continuous, proactive threat modeling incorporating real-time threat intelligence, attack surface changes, and emerging TTPs.</t>
        </is>
      </c>
      <c r="C36" s="66" t="inlineStr">
        <is>
          <t>Continuous modeling; real-time integration with threat intel feeds.</t>
        </is>
      </c>
    </row>
    <row r="38" ht="30" customHeight="1">
      <c r="A38" s="15" t="inlineStr">
        <is>
          <t xml:space="preserve">  Tier 1: Basic</t>
        </is>
      </c>
      <c r="B38" s="4" t="n"/>
      <c r="C38" s="4" t="n"/>
    </row>
    <row r="39" ht="36" customHeight="1">
      <c r="A39" s="56"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7" t="inlineStr">
        <is>
          <t>1 — Initial</t>
        </is>
      </c>
      <c r="B42" s="58" t="inlineStr">
        <is>
          <t>Few or no baseline detection rules exist. Coverage is minimal and limited to out-of-the-box vendor rules.</t>
        </is>
      </c>
      <c r="C42" s="58" t="inlineStr">
        <is>
          <t>&lt;10 custom baseline rules; minimal ATT&amp;CK technique coverage.</t>
        </is>
      </c>
    </row>
    <row r="43" ht="42" customHeight="1">
      <c r="A43" s="59" t="inlineStr">
        <is>
          <t>2 — Repeatable</t>
        </is>
      </c>
      <c r="B43" s="60" t="inlineStr">
        <is>
          <t>A small set of baseline rules covers the most critical threats. Rules are basic signature or IOC-based detections.</t>
        </is>
      </c>
      <c r="C43" s="60" t="inlineStr">
        <is>
          <t>10-30 baseline rules; &lt;30% ATT&amp;CK technique coverage for priority areas.</t>
        </is>
      </c>
    </row>
    <row r="44" ht="42" customHeight="1">
      <c r="A44" s="61" t="inlineStr">
        <is>
          <t>3 — Defined</t>
        </is>
      </c>
      <c r="B44" s="62" t="inlineStr">
        <is>
          <t>Baseline rules cover key threat categories with a mix of signature and behavioral detections. Coverage gaps are identified.</t>
        </is>
      </c>
      <c r="C44" s="62" t="inlineStr">
        <is>
          <t>30-60 baseline rules; 30-50% ATT&amp;CK technique coverage with documented gaps.</t>
        </is>
      </c>
    </row>
    <row r="45" ht="42" customHeight="1">
      <c r="A45" s="63" t="inlineStr">
        <is>
          <t>4 — Managed</t>
        </is>
      </c>
      <c r="B45" s="64" t="inlineStr">
        <is>
          <t>Comprehensive baseline with behavioral and TTP-focused detections. Rules are tuned per environment and regularly validated.</t>
        </is>
      </c>
      <c r="C45" s="64" t="inlineStr">
        <is>
          <t>60-100 baseline rules; 50-70% ATT&amp;CK technique coverage including behavioral detections; gaps tracked against threat model.</t>
        </is>
      </c>
    </row>
    <row r="46" ht="42" customHeight="1">
      <c r="A46" s="65" t="inlineStr">
        <is>
          <t>5 — Optimized</t>
        </is>
      </c>
      <c r="B46" s="66" t="inlineStr">
        <is>
          <t>Continuously refined baseline with full environment-specific tuning. Automated coverage analysis identifies and fills gaps proactively.</t>
        </is>
      </c>
      <c r="C46" s="66"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7" t="inlineStr">
        <is>
          <t>1 — Initial</t>
        </is>
      </c>
      <c r="B50" s="58" t="inlineStr">
        <is>
          <t>No formal rule management. Rules live in the SIEM with no version control, change tracking, or documentation.</t>
        </is>
      </c>
      <c r="C50" s="58" t="inlineStr">
        <is>
          <t>&lt;20% of rules under version control.</t>
        </is>
      </c>
    </row>
    <row r="51" ht="42" customHeight="1">
      <c r="A51" s="59" t="inlineStr">
        <is>
          <t>2 — Repeatable</t>
        </is>
      </c>
      <c r="B51" s="60" t="inlineStr">
        <is>
          <t>Some rules are stored in version control. Basic documentation exists for some detections but is incomplete.</t>
        </is>
      </c>
      <c r="C51" s="60" t="inlineStr">
        <is>
          <t>20-50% of rules in version control; basic documentation.</t>
        </is>
      </c>
    </row>
    <row r="52" ht="42" customHeight="1">
      <c r="A52" s="61" t="inlineStr">
        <is>
          <t>3 — Defined</t>
        </is>
      </c>
      <c r="B52" s="62" t="inlineStr">
        <is>
          <t>Most rules are managed in version control with documentation standards. A detection-as-code approach is being adopted.</t>
        </is>
      </c>
      <c r="C52" s="62" t="inlineStr">
        <is>
          <t>50-80% of rules in version control with documentation.</t>
        </is>
      </c>
    </row>
    <row r="53" ht="42" customHeight="1">
      <c r="A53" s="63" t="inlineStr">
        <is>
          <t>4 — Managed</t>
        </is>
      </c>
      <c r="B53" s="64" t="inlineStr">
        <is>
          <t>Detection-as-code is standard practice. CI/CD pipelines handle rule deployment. All rules are documented and version-controlled.</t>
        </is>
      </c>
      <c r="C53" s="64" t="inlineStr">
        <is>
          <t>80-90% of rules in DaC pipeline; automated deployment.</t>
        </is>
      </c>
    </row>
    <row r="54" ht="42" customHeight="1">
      <c r="A54" s="65" t="inlineStr">
        <is>
          <t>5 — Optimized</t>
        </is>
      </c>
      <c r="B54" s="66" t="inlineStr">
        <is>
          <t>Fully automated rule lifecycle with CI/CD, automated testing, continuous validation, and weekly maintenance cycles.</t>
        </is>
      </c>
      <c r="C54" s="66"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7" t="inlineStr">
        <is>
          <t>1 — Initial</t>
        </is>
      </c>
      <c r="B58" s="58" t="inlineStr">
        <is>
          <t>No active management of telemetry quality. Data sources are whatever happens to be available without assessment of completeness.</t>
        </is>
      </c>
      <c r="C58" s="58" t="inlineStr">
        <is>
          <t>&lt;30% of rule types have adequate telemetry producing expected data.</t>
        </is>
      </c>
    </row>
    <row r="59" ht="42" customHeight="1">
      <c r="A59" s="59" t="inlineStr">
        <is>
          <t>2 — Repeatable</t>
        </is>
      </c>
      <c r="B59" s="60" t="inlineStr">
        <is>
          <t>Some awareness of telemetry gaps. Basic checks ensure critical data sources are ingesting, but no formal quality program.</t>
        </is>
      </c>
      <c r="C59" s="60" t="inlineStr">
        <is>
          <t>30-50% of rule types have adequate telemetry; basic health checks.</t>
        </is>
      </c>
    </row>
    <row r="60" ht="42" customHeight="1">
      <c r="A60" s="61" t="inlineStr">
        <is>
          <t>3 — Defined</t>
        </is>
      </c>
      <c r="B60" s="62" t="inlineStr">
        <is>
          <t>Telemetry quality is actively monitored. Data source coverage is mapped to detection needs. CTI enrichment is being integrated.</t>
        </is>
      </c>
      <c r="C60" s="62" t="inlineStr">
        <is>
          <t>50-70% telemetry coverage; CTI integration beginning.</t>
        </is>
      </c>
    </row>
    <row r="61" ht="42" customHeight="1">
      <c r="A61" s="63" t="inlineStr">
        <is>
          <t>4 — Managed</t>
        </is>
      </c>
      <c r="B61" s="64" t="inlineStr">
        <is>
          <t>Comprehensive telemetry management with automated health monitoring, CTI enrichment, and proactive gap identification.</t>
        </is>
      </c>
      <c r="C61" s="64" t="inlineStr">
        <is>
          <t>70-90% telemetry coverage; automated health monitoring; CTI integrated.</t>
        </is>
      </c>
    </row>
    <row r="62" ht="42" customHeight="1">
      <c r="A62" s="65" t="inlineStr">
        <is>
          <t>5 — Optimized</t>
        </is>
      </c>
      <c r="B62" s="66" t="inlineStr">
        <is>
          <t>Advanced telemetry workflows with real-time enrichment, automated responses to telemetry degradation, and full CTI integration.</t>
        </is>
      </c>
      <c r="C62" s="66"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7" t="inlineStr">
        <is>
          <t>1 — Initial</t>
        </is>
      </c>
      <c r="B66" s="58" t="inlineStr">
        <is>
          <t>No regular review of the threat landscape. Detection priorities are not informed by current threats.</t>
        </is>
      </c>
      <c r="C66" s="58" t="inlineStr">
        <is>
          <t>No scheduled reviews; &lt;30% of rules aligned to current threats.</t>
        </is>
      </c>
    </row>
    <row r="67" ht="42" customHeight="1">
      <c r="A67" s="59" t="inlineStr">
        <is>
          <t>2 — Repeatable</t>
        </is>
      </c>
      <c r="B67" s="60" t="inlineStr">
        <is>
          <t>Bi-annual or annual reviews of the threat landscape. Some detection priorities are updated based on major threat changes.</t>
        </is>
      </c>
      <c r="C67" s="60" t="inlineStr">
        <is>
          <t>1-2 reviews per year; some rule updates based on findings.</t>
        </is>
      </c>
    </row>
    <row r="68" ht="42" customHeight="1">
      <c r="A68" s="61" t="inlineStr">
        <is>
          <t>3 — Defined</t>
        </is>
      </c>
      <c r="B68" s="62" t="inlineStr">
        <is>
          <t>Quarterly threat landscape reviews with documented findings. Detection roadmap is updated based on review outcomes.</t>
        </is>
      </c>
      <c r="C68" s="62" t="inlineStr">
        <is>
          <t>Quarterly reviews; 50-70% of rules reviewed against current threats.</t>
        </is>
      </c>
    </row>
    <row r="69" ht="42" customHeight="1">
      <c r="A69" s="63" t="inlineStr">
        <is>
          <t>4 — Managed</t>
        </is>
      </c>
      <c r="B69" s="64" t="inlineStr">
        <is>
          <t>Monthly threat landscape reviews integrated with threat intelligence. Detection priorities are continuously aligned with emerging threats.</t>
        </is>
      </c>
      <c r="C69" s="64" t="inlineStr">
        <is>
          <t>Monthly reviews; 70-90% rules aligned; automated intel integration.</t>
        </is>
      </c>
    </row>
    <row r="70" ht="42" customHeight="1">
      <c r="A70" s="65" t="inlineStr">
        <is>
          <t>5 — Optimized</t>
        </is>
      </c>
      <c r="B70" s="66" t="inlineStr">
        <is>
          <t>Real-time threat landscape monitoring with automated intelligence feeds driving detection priority updates.</t>
        </is>
      </c>
      <c r="C70" s="66"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7" t="inlineStr">
        <is>
          <t>1 — Initial</t>
        </is>
      </c>
      <c r="B74" s="58" t="inlineStr">
        <is>
          <t>No engagement between detection engineering and product/platform owners. Detection needs are not communicated to tool vendors or platform teams.</t>
        </is>
      </c>
      <c r="C74" s="58" t="inlineStr">
        <is>
          <t>Zero structured engagements with product owners.</t>
        </is>
      </c>
    </row>
    <row r="75" ht="42" customHeight="1">
      <c r="A75" s="59" t="inlineStr">
        <is>
          <t>2 — Repeatable</t>
        </is>
      </c>
      <c r="B75" s="60" t="inlineStr">
        <is>
          <t>Occasional ad hoc engagement with product owners, typically reactive to issues or gaps discovered during detection development.</t>
        </is>
      </c>
      <c r="C75" s="60" t="inlineStr">
        <is>
          <t>1-2 engagements per quarter; reactive only.</t>
        </is>
      </c>
    </row>
    <row r="76" ht="42" customHeight="1">
      <c r="A76" s="61" t="inlineStr">
        <is>
          <t>3 — Defined</t>
        </is>
      </c>
      <c r="B76" s="62" t="inlineStr">
        <is>
          <t>Regular engagement with product owners to communicate detection needs, request features, and provide feedback on platform capabilities.</t>
        </is>
      </c>
      <c r="C76" s="62" t="inlineStr">
        <is>
          <t>Quarterly structured engagements; feature requests tracked.</t>
        </is>
      </c>
    </row>
    <row r="77" ht="42" customHeight="1">
      <c r="A77" s="63" t="inlineStr">
        <is>
          <t>4 — Managed</t>
        </is>
      </c>
      <c r="B77" s="64" t="inlineStr">
        <is>
          <t>Proactive partnership with product owners. Detection requirements are integrated into product roadmaps. Regular feedback loops established.</t>
        </is>
      </c>
      <c r="C77" s="64" t="inlineStr">
        <is>
          <t>Monthly engagements; &gt;50% of feature requests on product roadmap.</t>
        </is>
      </c>
    </row>
    <row r="78" ht="42" customHeight="1">
      <c r="A78" s="65" t="inlineStr">
        <is>
          <t>5 — Optimized</t>
        </is>
      </c>
      <c r="B78" s="66" t="inlineStr">
        <is>
          <t>Continuous, proactive engagement. Detection needs directly influence product development. Joint planning and shared success metrics.</t>
        </is>
      </c>
      <c r="C78" s="66"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7" t="inlineStr">
        <is>
          <t>1 — Initial</t>
        </is>
      </c>
      <c r="B82" s="58" t="inlineStr">
        <is>
          <t>No formal testing before rule deployment. Rules are pushed to production without validation.</t>
        </is>
      </c>
      <c r="C82" s="58" t="inlineStr">
        <is>
          <t>&lt;20% of rules tested before deployment.</t>
        </is>
      </c>
    </row>
    <row r="83" ht="42" customHeight="1">
      <c r="A83" s="59" t="inlineStr">
        <is>
          <t>2 — Repeatable</t>
        </is>
      </c>
      <c r="B83" s="60" t="inlineStr">
        <is>
          <t>Basic manual testing on some rules before deployment. No standardized testing process or test environments.</t>
        </is>
      </c>
      <c r="C83" s="60" t="inlineStr">
        <is>
          <t>20-40% of rules tested; manual testing only.</t>
        </is>
      </c>
    </row>
    <row r="84" ht="42" customHeight="1">
      <c r="A84" s="61" t="inlineStr">
        <is>
          <t>3 — Defined</t>
        </is>
      </c>
      <c r="B84" s="62" t="inlineStr">
        <is>
          <t>Standardized testing process with defined test cases. Most rules are tested before deployment in a staging environment.</t>
        </is>
      </c>
      <c r="C84" s="62" t="inlineStr">
        <is>
          <t>50-70% of rules tested; staging environment available.</t>
        </is>
      </c>
    </row>
    <row r="85" ht="42" customHeight="1">
      <c r="A85" s="63" t="inlineStr">
        <is>
          <t>4 — Managed</t>
        </is>
      </c>
      <c r="B85" s="64" t="inlineStr">
        <is>
          <t>Comprehensive testing including unit tests, integration tests, and emulation-based validation. Rapid deployment capability for emerging threats.</t>
        </is>
      </c>
      <c r="C85" s="64" t="inlineStr">
        <is>
          <t>70-90% automated testing; 24-hour deployment capability for critical threats.</t>
        </is>
      </c>
    </row>
    <row r="86" ht="42" customHeight="1">
      <c r="A86" s="65" t="inlineStr">
        <is>
          <t>5 — Optimized</t>
        </is>
      </c>
      <c r="B86" s="66" t="inlineStr">
        <is>
          <t>Continuous, automated testing with real-time feedback. Full CI/CD pipeline with automated validation before every deployment.</t>
        </is>
      </c>
      <c r="C86" s="66" t="inlineStr">
        <is>
          <t>90-100% automated testing; continuous validation in CI/CD pipeline.</t>
        </is>
      </c>
    </row>
    <row r="88" ht="30" customHeight="1">
      <c r="A88" s="15" t="inlineStr">
        <is>
          <t xml:space="preserve">  Tier 2: Intermediate</t>
        </is>
      </c>
      <c r="B88" s="4" t="n"/>
      <c r="C88" s="4" t="n"/>
    </row>
    <row r="89" ht="36" customHeight="1">
      <c r="A89" s="56"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7" t="inlineStr">
        <is>
          <t>1 — Initial</t>
        </is>
      </c>
      <c r="B92" s="58" t="inlineStr">
        <is>
          <t>Minimal or no tuning of detection rules. High false positive rates accepted as normal, contributing to alert fatigue.</t>
        </is>
      </c>
      <c r="C92" s="58" t="inlineStr">
        <is>
          <t>No measurable FP reduction efforts.</t>
        </is>
      </c>
    </row>
    <row r="93" ht="42" customHeight="1">
      <c r="A93" s="59" t="inlineStr">
        <is>
          <t>2 — Repeatable</t>
        </is>
      </c>
      <c r="B93" s="60" t="inlineStr">
        <is>
          <t>Some tuning performed reactively when analysts complain. No systematic tracking of false positive rates.</t>
        </is>
      </c>
      <c r="C93" s="60" t="inlineStr">
        <is>
          <t>10-25% FP reduction from initial baseline; sporadic tuning.</t>
        </is>
      </c>
    </row>
    <row r="94" ht="42" customHeight="1">
      <c r="A94" s="61" t="inlineStr">
        <is>
          <t>3 — Defined</t>
        </is>
      </c>
      <c r="B94" s="62" t="inlineStr">
        <is>
          <t>Regular tuning cycles with tracked FP rates per rule. Tuning is documented and follows a defined process.</t>
        </is>
      </c>
      <c r="C94" s="62" t="inlineStr">
        <is>
          <t>25-50% FP reduction; quarterly tuning cycles; FP rates tracked per rule.</t>
        </is>
      </c>
    </row>
    <row r="95" ht="42" customHeight="1">
      <c r="A95" s="63" t="inlineStr">
        <is>
          <t>4 — Managed</t>
        </is>
      </c>
      <c r="B95" s="64" t="inlineStr">
        <is>
          <t>Comprehensive FP management with automated tuning suggestions, risk-based alert scoring, and continuous monitoring.</t>
        </is>
      </c>
      <c r="C95" s="64" t="inlineStr">
        <is>
          <t>&gt;50% FP reduction; automated tuning recommendations; risk-based scoring.</t>
        </is>
      </c>
    </row>
    <row r="96" ht="42" customHeight="1">
      <c r="A96" s="65" t="inlineStr">
        <is>
          <t>5 — Optimized</t>
        </is>
      </c>
      <c r="B96" s="66" t="inlineStr">
        <is>
          <t>Automated and dynamic tuning with machine learning. Near-zero unnecessary alert noise. Continuous optimization.</t>
        </is>
      </c>
      <c r="C96" s="66"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7" t="inlineStr">
        <is>
          <t>1 — Initial</t>
        </is>
      </c>
      <c r="B100" s="58" t="inlineStr">
        <is>
          <t>No gap analysis performed. Detection coverage gaps are unknown and undocumented.</t>
        </is>
      </c>
      <c r="C100" s="58" t="inlineStr">
        <is>
          <t>Zero gaps formally documented.</t>
        </is>
      </c>
    </row>
    <row r="101" ht="42" customHeight="1">
      <c r="A101" s="59" t="inlineStr">
        <is>
          <t>2 — Repeatable</t>
        </is>
      </c>
      <c r="B101" s="60" t="inlineStr">
        <is>
          <t>Some gaps identified informally, typically after incidents expose missing detections. Documentation is inconsistent.</t>
        </is>
      </c>
      <c r="C101" s="60" t="inlineStr">
        <is>
          <t>1-3 gaps documented; reactive identification only.</t>
        </is>
      </c>
    </row>
    <row r="102" ht="42" customHeight="1">
      <c r="A102" s="61" t="inlineStr">
        <is>
          <t>3 — Defined</t>
        </is>
      </c>
      <c r="B102" s="62" t="inlineStr">
        <is>
          <t>Regular gap analysis performed against ATT&amp;CK or similar frameworks. Gaps are documented, prioritized, and communicated to stakeholders.</t>
        </is>
      </c>
      <c r="C102" s="62" t="inlineStr">
        <is>
          <t>5+ gaps documented quarterly; prioritized against threat model.</t>
        </is>
      </c>
    </row>
    <row r="103" ht="42" customHeight="1">
      <c r="A103" s="63" t="inlineStr">
        <is>
          <t>4 — Managed</t>
        </is>
      </c>
      <c r="B103" s="64" t="inlineStr">
        <is>
          <t>Comprehensive gap analysis integrated with threat modeling and risk assessment. Gaps drive the detection roadmap.</t>
        </is>
      </c>
      <c r="C103" s="64" t="inlineStr">
        <is>
          <t>Continuous gap tracking; gaps integrated into roadmap; stakeholder reporting.</t>
        </is>
      </c>
    </row>
    <row r="104" ht="42" customHeight="1">
      <c r="A104" s="65" t="inlineStr">
        <is>
          <t>5 — Optimized</t>
        </is>
      </c>
      <c r="B104" s="66" t="inlineStr">
        <is>
          <t>Automated gap analysis using advanced analytics. Real-time coverage mapping with automated prioritization.</t>
        </is>
      </c>
      <c r="C104" s="66"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7" t="inlineStr">
        <is>
          <t>1 — Initial</t>
        </is>
      </c>
      <c r="B108" s="58" t="inlineStr">
        <is>
          <t>No internal testing of detection effectiveness. Rules are assumed to work once deployed.</t>
        </is>
      </c>
      <c r="C108" s="58" t="inlineStr">
        <is>
          <t>Zero internal testing activities.</t>
        </is>
      </c>
    </row>
    <row r="109" ht="42" customHeight="1">
      <c r="A109" s="59" t="inlineStr">
        <is>
          <t>2 — Repeatable</t>
        </is>
      </c>
      <c r="B109" s="60" t="inlineStr">
        <is>
          <t>Occasional manual testing of high-priority rules. Basic atomic tests run sporadically.</t>
        </is>
      </c>
      <c r="C109" s="60" t="inlineStr">
        <is>
          <t>&lt;40% emulation coverage; sporadic testing.</t>
        </is>
      </c>
    </row>
    <row r="110" ht="42" customHeight="1">
      <c r="A110" s="61" t="inlineStr">
        <is>
          <t>3 — Defined</t>
        </is>
      </c>
      <c r="B110" s="62" t="inlineStr">
        <is>
          <t>Regular testing program with attack emulation (e.g., Atomic Red Team, Caldera) covering major detection categories. Results documented and tracked.</t>
        </is>
      </c>
      <c r="C110" s="62" t="inlineStr">
        <is>
          <t>40-70% emulation coverage; at least quarterly testing cycles.</t>
        </is>
      </c>
    </row>
    <row r="111" ht="42" customHeight="1">
      <c r="A111" s="63" t="inlineStr">
        <is>
          <t>4 — Managed</t>
        </is>
      </c>
      <c r="B111" s="64" t="inlineStr">
        <is>
          <t>Comprehensive internal testing with automated attack emulation, purple team exercises, and continuous validation.</t>
        </is>
      </c>
      <c r="C111" s="64" t="inlineStr">
        <is>
          <t>70-90% automated emulation coverage; regular purple team exercises.</t>
        </is>
      </c>
    </row>
    <row r="112" ht="42" customHeight="1">
      <c r="A112" s="65" t="inlineStr">
        <is>
          <t>5 — Optimized</t>
        </is>
      </c>
      <c r="B112" s="66" t="inlineStr">
        <is>
          <t>Continuous automated testing with real-time validation. Full emulation coverage with automated regression testing on every rule change.</t>
        </is>
      </c>
      <c r="C112" s="66" t="inlineStr">
        <is>
          <t>&gt;90% automated coverage; continuous validation; automated regression on every change.</t>
        </is>
      </c>
    </row>
    <row r="114" ht="30" customHeight="1">
      <c r="A114" s="15" t="inlineStr">
        <is>
          <t xml:space="preserve">  Tier 3: Advanced</t>
        </is>
      </c>
      <c r="B114" s="4" t="n"/>
      <c r="C114" s="4" t="n"/>
    </row>
    <row r="115" ht="36" customHeight="1">
      <c r="A115" s="56"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7" t="inlineStr">
        <is>
          <t>1 — Initial</t>
        </is>
      </c>
      <c r="B118" s="58" t="inlineStr">
        <is>
          <t>No process for identifying or triaging false negatives. Missed detections are only discovered during incident response.</t>
        </is>
      </c>
      <c r="C118" s="58" t="inlineStr">
        <is>
          <t>Zero FN reduction activities.</t>
        </is>
      </c>
    </row>
    <row r="119" ht="42" customHeight="1">
      <c r="A119" s="59" t="inlineStr">
        <is>
          <t>2 — Repeatable</t>
        </is>
      </c>
      <c r="B119" s="60" t="inlineStr">
        <is>
          <t>Some false negatives identified through post-incident reviews. Basic tracking of missed detections.</t>
        </is>
      </c>
      <c r="C119" s="60" t="inlineStr">
        <is>
          <t>50% of tested samples trigger expected alerts.</t>
        </is>
      </c>
    </row>
    <row r="120" ht="42" customHeight="1">
      <c r="A120" s="61" t="inlineStr">
        <is>
          <t>3 — Defined</t>
        </is>
      </c>
      <c r="B120" s="62" t="inlineStr">
        <is>
          <t>Systematic false negative identification through regular testing and validation exercises. Root causes are analyzed and documented.</t>
        </is>
      </c>
      <c r="C120" s="62" t="inlineStr">
        <is>
          <t>70-90% of tested samples trigger alerts; root cause analysis documented; 30-50% FN reduction from baseline.</t>
        </is>
      </c>
    </row>
    <row r="121" ht="42" customHeight="1">
      <c r="A121" s="63" t="inlineStr">
        <is>
          <t>4 — Managed</t>
        </is>
      </c>
      <c r="B121" s="64" t="inlineStr">
        <is>
          <t>Comprehensive FN management with automated detection validation, coverage testing, and rapid remediation processes.</t>
        </is>
      </c>
      <c r="C121" s="64" t="inlineStr">
        <is>
          <t>90-100% of tested samples trigger alerts; automated validation; &gt;50% FN reduction.</t>
        </is>
      </c>
    </row>
    <row r="122" ht="42" customHeight="1">
      <c r="A122" s="65" t="inlineStr">
        <is>
          <t>5 — Optimized</t>
        </is>
      </c>
      <c r="B122" s="66" t="inlineStr">
        <is>
          <t>Continuous, automated false negative detection using advanced analytics and real-time validation against live threats.</t>
        </is>
      </c>
      <c r="C122" s="66"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7" t="inlineStr">
        <is>
          <t>1 — Initial</t>
        </is>
      </c>
      <c r="B126" s="58" t="inlineStr">
        <is>
          <t>No external validation of detection capabilities. No red team, penetration testing, or third-party assessment of detections.</t>
        </is>
      </c>
      <c r="C126" s="58" t="inlineStr">
        <is>
          <t>Zero external validation exercises.</t>
        </is>
      </c>
    </row>
    <row r="127" ht="42" customHeight="1">
      <c r="A127" s="59" t="inlineStr">
        <is>
          <t>2 — Repeatable</t>
        </is>
      </c>
      <c r="B127" s="60" t="inlineStr">
        <is>
          <t>Occasional external validation, typically annual penetration tests with some detection assessment included.</t>
        </is>
      </c>
      <c r="C127" s="60" t="inlineStr">
        <is>
          <t>1 external validation exercise per year.</t>
        </is>
      </c>
    </row>
    <row r="128" ht="42" customHeight="1">
      <c r="A128" s="61" t="inlineStr">
        <is>
          <t>3 — Defined</t>
        </is>
      </c>
      <c r="B128" s="62" t="inlineStr">
        <is>
          <t>Regular external validation through red team engagements or third-party assessments focused on detection effectiveness.</t>
        </is>
      </c>
      <c r="C128" s="62" t="inlineStr">
        <is>
          <t>&gt;1 external exercise per year; findings drive detection improvements.</t>
        </is>
      </c>
    </row>
    <row r="129" ht="42" customHeight="1">
      <c r="A129" s="63" t="inlineStr">
        <is>
          <t>4 — Managed</t>
        </is>
      </c>
      <c r="B129" s="64" t="inlineStr">
        <is>
          <t>Multiple external validation exercises annually including red team, purple team, and breach simulation. Systematic feedback integration.</t>
        </is>
      </c>
      <c r="C129" s="64" t="inlineStr">
        <is>
          <t>Multiple exercises per year; &gt;70% of findings remediated within 30 days.</t>
        </is>
      </c>
    </row>
    <row r="130" ht="42" customHeight="1">
      <c r="A130" s="65" t="inlineStr">
        <is>
          <t>5 — Optimized</t>
        </is>
      </c>
      <c r="B130" s="66" t="inlineStr">
        <is>
          <t>Continuous external validation with automated breach and attack simulation (BAS) tools and regular adversary emulation exercises.</t>
        </is>
      </c>
      <c r="C130" s="66"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7" t="inlineStr">
        <is>
          <t>1 — Initial</t>
        </is>
      </c>
      <c r="B134" s="58" t="inlineStr">
        <is>
          <t>No coverage of advanced TTPs. Detections focus only on known signatures and basic indicators.</t>
        </is>
      </c>
      <c r="C134" s="58" t="inlineStr">
        <is>
          <t>Zero advanced TTP detections.</t>
        </is>
      </c>
    </row>
    <row r="135" ht="42" customHeight="1">
      <c r="A135" s="59" t="inlineStr">
        <is>
          <t>2 — Repeatable</t>
        </is>
      </c>
      <c r="B135" s="60" t="inlineStr">
        <is>
          <t>Limited coverage of some advanced TTPs, typically 1-3 techniques beyond basic signature detection.</t>
        </is>
      </c>
      <c r="C135" s="60" t="inlineStr">
        <is>
          <t>1-3 advanced TTP detections (e.g., living-off-the-land, fileless).</t>
        </is>
      </c>
    </row>
    <row r="136" ht="42" customHeight="1">
      <c r="A136" s="61" t="inlineStr">
        <is>
          <t>3 — Defined</t>
        </is>
      </c>
      <c r="B136" s="62" t="inlineStr">
        <is>
          <t>Growing coverage of advanced TTPs informed by threat intelligence. Behavioral detections supplement signature-based rules.</t>
        </is>
      </c>
      <c r="C136" s="62" t="inlineStr">
        <is>
          <t>3-5 advanced TTP detections; behavioral detection capabilities.</t>
        </is>
      </c>
    </row>
    <row r="137" ht="42" customHeight="1">
      <c r="A137" s="63" t="inlineStr">
        <is>
          <t>4 — Managed</t>
        </is>
      </c>
      <c r="B137" s="64" t="inlineStr">
        <is>
          <t>Comprehensive advanced TTP coverage including sophisticated evasion techniques, novel attack chains, and emerging threats.</t>
        </is>
      </c>
      <c r="C137" s="64" t="inlineStr">
        <is>
          <t>5+ advanced TTP detections; coverage of evasion and novel techniques.</t>
        </is>
      </c>
    </row>
    <row r="138" ht="42" customHeight="1">
      <c r="A138" s="65" t="inlineStr">
        <is>
          <t>5 — Optimized</t>
        </is>
      </c>
      <c r="B138" s="66" t="inlineStr">
        <is>
          <t>Continuous, proactive advanced TTP coverage using AI/ML for anomaly detection and automated response to emerging TTPs.</t>
        </is>
      </c>
      <c r="C138" s="66" t="inlineStr">
        <is>
          <t>Real-time advanced TTP detection; AI/ML-assisted; automated emerging threat coverage.</t>
        </is>
      </c>
    </row>
    <row r="140" ht="30" customHeight="1">
      <c r="A140" s="15" t="inlineStr">
        <is>
          <t xml:space="preserve">  Tier 4: Expert</t>
        </is>
      </c>
      <c r="B140" s="4" t="n"/>
      <c r="C140" s="4" t="n"/>
    </row>
    <row r="141" ht="36" customHeight="1">
      <c r="A141" s="56"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7" t="inlineStr">
        <is>
          <t>1 — Initial</t>
        </is>
      </c>
      <c r="B144" s="58" t="inlineStr">
        <is>
          <t>No proactive threat hunting activities. All detection is passive through deployed rules.</t>
        </is>
      </c>
      <c r="C144" s="58" t="inlineStr">
        <is>
          <t>Zero hunting activities.</t>
        </is>
      </c>
    </row>
    <row r="145" ht="42" customHeight="1">
      <c r="A145" s="59" t="inlineStr">
        <is>
          <t>2 — Repeatable</t>
        </is>
      </c>
      <c r="B145" s="60" t="inlineStr">
        <is>
          <t>Occasional ad hoc hunting triggered by intelligence or incidents. Findings are not systematically converted to detections.</t>
        </is>
      </c>
      <c r="C145" s="60" t="inlineStr">
        <is>
          <t>Bi-weekly hunting activities; &lt;30% of findings converted to rules.</t>
        </is>
      </c>
    </row>
    <row r="146" ht="42" customHeight="1">
      <c r="A146" s="61" t="inlineStr">
        <is>
          <t>3 — Defined</t>
        </is>
      </c>
      <c r="B146" s="62" t="inlineStr">
        <is>
          <t>Regular structured hunting program with hypotheses driven by intelligence. Findings are documented and fed into detection development.</t>
        </is>
      </c>
      <c r="C146" s="62" t="inlineStr">
        <is>
          <t>Weekly hunting; 50-70% of findings integrated into detection rules.</t>
        </is>
      </c>
    </row>
    <row r="147" ht="42" customHeight="1">
      <c r="A147" s="63" t="inlineStr">
        <is>
          <t>4 — Managed</t>
        </is>
      </c>
      <c r="B147" s="64" t="inlineStr">
        <is>
          <t>Comprehensive hunting program with daily activities, advanced analytics, and systematic integration of findings into detections.</t>
        </is>
      </c>
      <c r="C147" s="64" t="inlineStr">
        <is>
          <t>Daily hunting; &gt;90% of findings integrated; advanced analytics used.</t>
        </is>
      </c>
    </row>
    <row r="148" ht="42" customHeight="1">
      <c r="A148" s="65" t="inlineStr">
        <is>
          <t>5 — Optimized</t>
        </is>
      </c>
      <c r="B148" s="66" t="inlineStr">
        <is>
          <t>Automated real-time hunting augmented by AI/ML. Hunting outputs automatically generate detection rule candidates.</t>
        </is>
      </c>
      <c r="C148" s="66"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7" t="inlineStr">
        <is>
          <t>1 — Initial</t>
        </is>
      </c>
      <c r="B152" s="58" t="inlineStr">
        <is>
          <t>No automation of detection engineering tasks. All processes are manual and time-consuming.</t>
        </is>
      </c>
      <c r="C152" s="58" t="inlineStr">
        <is>
          <t>Zero automation of detection engineering tasks.</t>
        </is>
      </c>
    </row>
    <row r="153" ht="42" customHeight="1">
      <c r="A153" s="59" t="inlineStr">
        <is>
          <t>2 — Repeatable</t>
        </is>
      </c>
      <c r="B153" s="60" t="inlineStr">
        <is>
          <t>Basic automation of some repetitive tasks (e.g., rule deployment scripts). Mostly manual processes remain.</t>
        </is>
      </c>
      <c r="C153" s="60" t="inlineStr">
        <is>
          <t>&lt;30% of routine tasks automated.</t>
        </is>
      </c>
    </row>
    <row r="154" ht="42" customHeight="1">
      <c r="A154" s="61" t="inlineStr">
        <is>
          <t>3 — Defined</t>
        </is>
      </c>
      <c r="B154" s="62" t="inlineStr">
        <is>
          <t>Significant automation of rule lifecycle tasks including testing, deployment, and basic tuning. AI-based quality checks on new rules. Continuous improvement processes defined.</t>
        </is>
      </c>
      <c r="C154" s="62" t="inlineStr">
        <is>
          <t>40-60% of tasks automated; AI quality checks on new rules; improvement metrics tracked.</t>
        </is>
      </c>
    </row>
    <row r="155" ht="42" customHeight="1">
      <c r="A155" s="63" t="inlineStr">
        <is>
          <t>4 — Managed</t>
        </is>
      </c>
      <c r="B155" s="64" t="inlineStr">
        <is>
          <t>Advanced automation covering most of the detection lifecycle. AI/LLM tools used for rule optimization and analysis.</t>
        </is>
      </c>
      <c r="C155" s="64" t="inlineStr">
        <is>
          <t>70-80% automated; AI/LLM tools in use for optimization.</t>
        </is>
      </c>
    </row>
    <row r="156" ht="42" customHeight="1">
      <c r="A156" s="65" t="inlineStr">
        <is>
          <t>5 — Optimized</t>
        </is>
      </c>
      <c r="B156" s="66" t="inlineStr">
        <is>
          <t>Full generative AI/LLM integration throughout the detection lifecycle. Automated rule generation, tuning, and retirement.</t>
        </is>
      </c>
      <c r="C156" s="66" t="inlineStr">
        <is>
          <t>&gt;90% automated; 40%+ FP reduction via AI; full lifecycle AI integration.</t>
        </is>
      </c>
    </row>
    <row r="158" ht="16" customHeight="1"/>
    <row r="159" ht="28" customHeight="1">
      <c r="A159" s="32" t="inlineStr">
        <is>
          <t xml:space="preserve">  SUPPLEMENTARY DIMENSIONS</t>
        </is>
      </c>
      <c r="B159" s="33" t="n"/>
      <c r="C159" s="33" t="n"/>
    </row>
    <row r="160" ht="30" customHeight="1">
      <c r="A160" s="32" t="inlineStr">
        <is>
          <t xml:space="preserve">  People &amp; Organization</t>
        </is>
      </c>
      <c r="B160" s="33" t="n"/>
      <c r="C160" s="33" t="n"/>
    </row>
    <row r="161" ht="36" customHeight="1">
      <c r="A161" s="67" t="inlineStr">
        <is>
          <t>Assesses the human and organizational factors that enable effective detection engineering, drawn from Kyle Bailey's Detection Engineering Maturity Matrix.</t>
        </is>
      </c>
      <c r="B161" s="29" t="n"/>
      <c r="C161" s="29" t="n"/>
    </row>
    <row r="162" ht="26" customHeight="1">
      <c r="A162" s="28" t="inlineStr">
        <is>
          <t>Team Structure and Dedicated Roles</t>
        </is>
      </c>
      <c r="B162" s="29" t="n"/>
      <c r="C162" s="29" t="n"/>
    </row>
    <row r="163" ht="22" customHeight="1">
      <c r="A163" s="14" t="inlineStr">
        <is>
          <t>Level</t>
        </is>
      </c>
      <c r="B163" s="14" t="inlineStr">
        <is>
          <t>Description</t>
        </is>
      </c>
      <c r="C163" s="14" t="inlineStr">
        <is>
          <t>Quantitative Measure</t>
        </is>
      </c>
    </row>
    <row r="164" ht="42" customHeight="1">
      <c r="A164" s="57" t="inlineStr">
        <is>
          <t>1 — Initial</t>
        </is>
      </c>
      <c r="B164" s="58" t="inlineStr">
        <is>
          <t>No dedicated detection engineering roles. Detection work is done part-time by SOC analysts or other security staff as a side task.</t>
        </is>
      </c>
      <c r="C164" s="58" t="inlineStr">
        <is>
          <t>Zero dedicated detection engineering FTEs.</t>
        </is>
      </c>
    </row>
    <row r="165" ht="42" customHeight="1">
      <c r="A165" s="59" t="inlineStr">
        <is>
          <t>2 — Repeatable</t>
        </is>
      </c>
      <c r="B165" s="60" t="inlineStr">
        <is>
          <t>One or more staff have detection engineering as a partial responsibility. No formal team structure or career path.</t>
        </is>
      </c>
      <c r="C165" s="60" t="inlineStr">
        <is>
          <t>Part-time detection engineering; no dedicated team.</t>
        </is>
      </c>
    </row>
    <row r="166" ht="42" customHeight="1">
      <c r="A166" s="61" t="inlineStr">
        <is>
          <t>3 — Defined</t>
        </is>
      </c>
      <c r="B166" s="62" t="inlineStr">
        <is>
          <t>Dedicated detection engineering role(s) or team established. Clear responsibilities and basic career progression defined.</t>
        </is>
      </c>
      <c r="C166" s="62" t="inlineStr">
        <is>
          <t>At least 1 dedicated FTE; defined role and responsibilities.</t>
        </is>
      </c>
    </row>
    <row r="167" ht="42" customHeight="1">
      <c r="A167" s="63" t="inlineStr">
        <is>
          <t>4 — Managed</t>
        </is>
      </c>
      <c r="B167" s="64" t="inlineStr">
        <is>
          <t>Established detection engineering team with subject matter experts across key domains (host, network, cloud, application).</t>
        </is>
      </c>
      <c r="C167" s="64" t="inlineStr">
        <is>
          <t>Multi-person team with domain specialization; defined career ladder.</t>
        </is>
      </c>
    </row>
    <row r="168" ht="42" customHeight="1">
      <c r="A168" s="65" t="inlineStr">
        <is>
          <t>5 — Optimized</t>
        </is>
      </c>
      <c r="B168" s="66" t="inlineStr">
        <is>
          <t>Mature team with deep specialization, mentorship programs, and influence on organizational security strategy.</t>
        </is>
      </c>
      <c r="C168" s="66" t="inlineStr">
        <is>
          <t>Full team with domain experts; mentorship program; strategic influence.</t>
        </is>
      </c>
    </row>
    <row r="170" ht="26" customHeight="1">
      <c r="A170" s="28" t="inlineStr">
        <is>
          <t>Skills Development and Training</t>
        </is>
      </c>
      <c r="B170" s="29" t="n"/>
      <c r="C170" s="29" t="n"/>
    </row>
    <row r="171" ht="22" customHeight="1">
      <c r="A171" s="14" t="inlineStr">
        <is>
          <t>Level</t>
        </is>
      </c>
      <c r="B171" s="14" t="inlineStr">
        <is>
          <t>Description</t>
        </is>
      </c>
      <c r="C171" s="14" t="inlineStr">
        <is>
          <t>Quantitative Measure</t>
        </is>
      </c>
    </row>
    <row r="172" ht="42" customHeight="1">
      <c r="A172" s="57" t="inlineStr">
        <is>
          <t>1 — Initial</t>
        </is>
      </c>
      <c r="B172" s="58" t="inlineStr">
        <is>
          <t>No formal training or skills development for detection engineering. Learning is self-directed with no organizational support.</t>
        </is>
      </c>
      <c r="C172" s="58" t="inlineStr">
        <is>
          <t>Zero training budget or programs for detection engineering.</t>
        </is>
      </c>
    </row>
    <row r="173" ht="42" customHeight="1">
      <c r="A173" s="59" t="inlineStr">
        <is>
          <t>2 — Repeatable</t>
        </is>
      </c>
      <c r="B173" s="60" t="inlineStr">
        <is>
          <t>Some ad hoc training available. Individuals may attend conferences or take courses, but there is no structured program.</t>
        </is>
      </c>
      <c r="C173" s="60" t="inlineStr">
        <is>
          <t>Occasional training; no structured development program.</t>
        </is>
      </c>
    </row>
    <row r="174" ht="42" customHeight="1">
      <c r="A174" s="61" t="inlineStr">
        <is>
          <t>3 — Defined</t>
        </is>
      </c>
      <c r="B174" s="62" t="inlineStr">
        <is>
          <t>Defined training program covering core detection engineering skills. Regular knowledge sharing sessions within the team.</t>
        </is>
      </c>
      <c r="C174" s="62" t="inlineStr">
        <is>
          <t>Annual training plan; regular knowledge sharing; defined skill requirements.</t>
        </is>
      </c>
    </row>
    <row r="175" ht="42" customHeight="1">
      <c r="A175" s="63" t="inlineStr">
        <is>
          <t>4 — Managed</t>
        </is>
      </c>
      <c r="B175" s="64" t="inlineStr">
        <is>
          <t>Comprehensive training covering advanced topics. Cross-training with related teams (IR, threat intel, engineering). Certifications supported.</t>
        </is>
      </c>
      <c r="C175" s="64" t="inlineStr">
        <is>
          <t>Advanced training program; cross-training; certification support.</t>
        </is>
      </c>
    </row>
    <row r="176" ht="42" customHeight="1">
      <c r="A176" s="65" t="inlineStr">
        <is>
          <t>5 — Optimized</t>
        </is>
      </c>
      <c r="B176" s="66" t="inlineStr">
        <is>
          <t>Continuous learning culture with advanced training, conference participation, community contribution, and internal research programs.</t>
        </is>
      </c>
      <c r="C176" s="66" t="inlineStr">
        <is>
          <t>Continuous development; community contribution; internal research.</t>
        </is>
      </c>
    </row>
    <row r="178" ht="26" customHeight="1">
      <c r="A178" s="28" t="inlineStr">
        <is>
          <t>Leadership Commitment and Executive Sponsorship</t>
        </is>
      </c>
      <c r="B178" s="29" t="n"/>
      <c r="C178" s="29" t="n"/>
    </row>
    <row r="179" ht="22" customHeight="1">
      <c r="A179" s="14" t="inlineStr">
        <is>
          <t>Level</t>
        </is>
      </c>
      <c r="B179" s="14" t="inlineStr">
        <is>
          <t>Description</t>
        </is>
      </c>
      <c r="C179" s="14" t="inlineStr">
        <is>
          <t>Quantitative Measure</t>
        </is>
      </c>
    </row>
    <row r="180" ht="42" customHeight="1">
      <c r="A180" s="57" t="inlineStr">
        <is>
          <t>1 — Initial</t>
        </is>
      </c>
      <c r="B180" s="58" t="inlineStr">
        <is>
          <t>No executive awareness or sponsorship of detection engineering. The function is not recognized as a distinct capability.</t>
        </is>
      </c>
      <c r="C180" s="58" t="inlineStr">
        <is>
          <t>Zero executive engagement with detection engineering.</t>
        </is>
      </c>
    </row>
    <row r="181" ht="42" customHeight="1">
      <c r="A181" s="59" t="inlineStr">
        <is>
          <t>2 — Repeatable</t>
        </is>
      </c>
      <c r="B181" s="60" t="inlineStr">
        <is>
          <t>Some leadership awareness of detection engineering but no formal sponsorship or dedicated budget allocation.</t>
        </is>
      </c>
      <c r="C181" s="60" t="inlineStr">
        <is>
          <t>Informal awareness; no dedicated budget.</t>
        </is>
      </c>
    </row>
    <row r="182" ht="42" customHeight="1">
      <c r="A182" s="61" t="inlineStr">
        <is>
          <t>3 — Defined</t>
        </is>
      </c>
      <c r="B182" s="62" t="inlineStr">
        <is>
          <t>Executive sponsor identified. Detection engineering has a defined budget and is recognized as a distinct function.</t>
        </is>
      </c>
      <c r="C182" s="62" t="inlineStr">
        <is>
          <t>Dedicated budget; executive sponsor; function formally recognized.</t>
        </is>
      </c>
    </row>
    <row r="183" ht="42" customHeight="1">
      <c r="A183" s="63" t="inlineStr">
        <is>
          <t>4 — Managed</t>
        </is>
      </c>
      <c r="B183" s="64" t="inlineStr">
        <is>
          <t>Strong executive support with detection engineering metrics reported to leadership. Function influences security investment decisions.</t>
        </is>
      </c>
      <c r="C183" s="64" t="inlineStr">
        <is>
          <t>Regular executive reporting; metrics-driven investment decisions.</t>
        </is>
      </c>
    </row>
    <row r="184" ht="42" customHeight="1">
      <c r="A184" s="65" t="inlineStr">
        <is>
          <t>5 — Optimized</t>
        </is>
      </c>
      <c r="B184" s="66" t="inlineStr">
        <is>
          <t>Detection engineering is a strategic priority. Executive leadership actively champions the function and its value across the organization.</t>
        </is>
      </c>
      <c r="C184" s="66" t="inlineStr">
        <is>
          <t>Strategic priority; board-level visibility; cross-org influence.</t>
        </is>
      </c>
    </row>
    <row r="186" ht="30" customHeight="1">
      <c r="A186" s="32" t="inlineStr">
        <is>
          <t xml:space="preserve">  Process &amp; Governance</t>
        </is>
      </c>
      <c r="B186" s="33" t="n"/>
      <c r="C186" s="33" t="n"/>
    </row>
    <row r="187" ht="36" customHeight="1">
      <c r="A187" s="67" t="inlineStr">
        <is>
          <t>Assesses the process maturity and governance structures supporting detection engineering, drawn from Kyle Bailey's Detection Engineering Maturity Matrix.</t>
        </is>
      </c>
      <c r="B187" s="29" t="n"/>
      <c r="C187" s="29" t="n"/>
    </row>
    <row r="188" ht="26" customHeight="1">
      <c r="A188" s="28" t="inlineStr">
        <is>
          <t>Detection Lifecycle Workflow</t>
        </is>
      </c>
      <c r="B188" s="29" t="n"/>
      <c r="C188" s="29" t="n"/>
    </row>
    <row r="189" ht="22" customHeight="1">
      <c r="A189" s="14" t="inlineStr">
        <is>
          <t>Level</t>
        </is>
      </c>
      <c r="B189" s="14" t="inlineStr">
        <is>
          <t>Description</t>
        </is>
      </c>
      <c r="C189" s="14" t="inlineStr">
        <is>
          <t>Quantitative Measure</t>
        </is>
      </c>
    </row>
    <row r="190" ht="42" customHeight="1">
      <c r="A190" s="57" t="inlineStr">
        <is>
          <t>1 — Initial</t>
        </is>
      </c>
      <c r="B190" s="58" t="inlineStr">
        <is>
          <t>No defined detection lifecycle. Detections are created and deployed without a structured workflow from request to retirement.</t>
        </is>
      </c>
      <c r="C190" s="58" t="inlineStr">
        <is>
          <t>No documented lifecycle process.</t>
        </is>
      </c>
    </row>
    <row r="191" ht="42" customHeight="1">
      <c r="A191" s="59" t="inlineStr">
        <is>
          <t>2 — Repeatable</t>
        </is>
      </c>
      <c r="B191" s="60" t="inlineStr">
        <is>
          <t>Basic lifecycle exists covering creation and deployment, but lacks formal stages for request, review, testing, or retirement.</t>
        </is>
      </c>
      <c r="C191" s="60" t="inlineStr">
        <is>
          <t>Partial lifecycle; 2-3 stages defined.</t>
        </is>
      </c>
    </row>
    <row r="192" ht="42" customHeight="1">
      <c r="A192" s="61" t="inlineStr">
        <is>
          <t>3 — Defined</t>
        </is>
      </c>
      <c r="B192" s="62" t="inlineStr">
        <is>
          <t>Full detection lifecycle defined covering request, development, review, testing, deployment, monitoring, and retirement.</t>
        </is>
      </c>
      <c r="C192" s="62" t="inlineStr">
        <is>
          <t>Full lifecycle documented; all stages defined and followed.</t>
        </is>
      </c>
    </row>
    <row r="193" ht="42" customHeight="1">
      <c r="A193" s="63" t="inlineStr">
        <is>
          <t>4 — Managed</t>
        </is>
      </c>
      <c r="B193" s="64" t="inlineStr">
        <is>
          <t>Lifecycle is enforced through tooling and automation. SLAs defined for each stage. Metrics tracked for cycle time and throughput.</t>
        </is>
      </c>
      <c r="C193" s="64" t="inlineStr">
        <is>
          <t>Automated lifecycle enforcement; SLAs defined; cycle time tracked.</t>
        </is>
      </c>
    </row>
    <row r="194" ht="42" customHeight="1">
      <c r="A194" s="65" t="inlineStr">
        <is>
          <t>5 — Optimized</t>
        </is>
      </c>
      <c r="B194" s="66" t="inlineStr">
        <is>
          <t>Optimized lifecycle with continuous improvement. Automated stage transitions, predictive analytics for rule retirement.</t>
        </is>
      </c>
      <c r="C194" s="66" t="inlineStr">
        <is>
          <t>Fully automated lifecycle; predictive analytics; continuous optimization.</t>
        </is>
      </c>
    </row>
    <row r="196" ht="26" customHeight="1">
      <c r="A196" s="28" t="inlineStr">
        <is>
          <t>Metrics and KPI Tracking</t>
        </is>
      </c>
      <c r="B196" s="29" t="n"/>
      <c r="C196" s="29" t="n"/>
    </row>
    <row r="197" ht="22" customHeight="1">
      <c r="A197" s="14" t="inlineStr">
        <is>
          <t>Level</t>
        </is>
      </c>
      <c r="B197" s="14" t="inlineStr">
        <is>
          <t>Description</t>
        </is>
      </c>
      <c r="C197" s="14" t="inlineStr">
        <is>
          <t>Quantitative Measure</t>
        </is>
      </c>
    </row>
    <row r="198" ht="42" customHeight="1">
      <c r="A198" s="57" t="inlineStr">
        <is>
          <t>1 — Initial</t>
        </is>
      </c>
      <c r="B198" s="58" t="inlineStr">
        <is>
          <t>No metrics tracked for detection engineering performance. Success is anecdotal or unmeasured.</t>
        </is>
      </c>
      <c r="C198" s="58" t="inlineStr">
        <is>
          <t>Zero detection engineering KPIs defined or tracked.</t>
        </is>
      </c>
    </row>
    <row r="199" ht="42" customHeight="1">
      <c r="A199" s="59" t="inlineStr">
        <is>
          <t>2 — Repeatable</t>
        </is>
      </c>
      <c r="B199" s="60" t="inlineStr">
        <is>
          <t>Basic metrics tracked informally (e.g., number of rules, alert volume). No formal KPI program or dashboards.</t>
        </is>
      </c>
      <c r="C199" s="60" t="inlineStr">
        <is>
          <t>1-2 basic metrics tracked informally.</t>
        </is>
      </c>
    </row>
    <row r="200" ht="42" customHeight="1">
      <c r="A200" s="61" t="inlineStr">
        <is>
          <t>3 — Defined</t>
        </is>
      </c>
      <c r="B200" s="62" t="inlineStr">
        <is>
          <t>Defined KPIs covering key areas (coverage, quality, velocity). Regular reporting to stakeholders with dashboards.</t>
        </is>
      </c>
      <c r="C200" s="62" t="inlineStr">
        <is>
          <t>3-5 KPIs defined; quarterly reporting; dashboards available.</t>
        </is>
      </c>
    </row>
    <row r="201" ht="42" customHeight="1">
      <c r="A201" s="63" t="inlineStr">
        <is>
          <t>4 — Managed</t>
        </is>
      </c>
      <c r="B201" s="64" t="inlineStr">
        <is>
          <t>Comprehensive metrics program with automated collection, trending, and correlation. Metrics drive decision-making.</t>
        </is>
      </c>
      <c r="C201" s="64" t="inlineStr">
        <is>
          <t>5+ KPIs; automated collection; metrics-driven decisions.</t>
        </is>
      </c>
    </row>
    <row r="202" ht="42" customHeight="1">
      <c r="A202" s="65" t="inlineStr">
        <is>
          <t>5 — Optimized</t>
        </is>
      </c>
      <c r="B202" s="66" t="inlineStr">
        <is>
          <t>Advanced analytics on detection engineering performance. Predictive metrics, benchmarking, and continuous optimization based on data.</t>
        </is>
      </c>
      <c r="C202" s="66" t="inlineStr">
        <is>
          <t>Predictive analytics; benchmarking; data-driven continuous optimization.</t>
        </is>
      </c>
    </row>
    <row r="204" ht="26" customHeight="1">
      <c r="A204" s="28" t="inlineStr">
        <is>
          <t>Cross-Team Collaboration</t>
        </is>
      </c>
      <c r="B204" s="29" t="n"/>
      <c r="C204" s="29" t="n"/>
    </row>
    <row r="205" ht="22" customHeight="1">
      <c r="A205" s="14" t="inlineStr">
        <is>
          <t>Level</t>
        </is>
      </c>
      <c r="B205" s="14" t="inlineStr">
        <is>
          <t>Description</t>
        </is>
      </c>
      <c r="C205" s="14" t="inlineStr">
        <is>
          <t>Quantitative Measure</t>
        </is>
      </c>
    </row>
    <row r="206" ht="42" customHeight="1">
      <c r="A206" s="57" t="inlineStr">
        <is>
          <t>1 — Initial</t>
        </is>
      </c>
      <c r="B206" s="58" t="inlineStr">
        <is>
          <t>Detection engineering operates in isolation. No structured collaboration with incident response, threat intelligence, or engineering teams.</t>
        </is>
      </c>
      <c r="C206" s="58" t="inlineStr">
        <is>
          <t>Zero structured cross-team interactions.</t>
        </is>
      </c>
    </row>
    <row r="207" ht="42" customHeight="1">
      <c r="A207" s="59" t="inlineStr">
        <is>
          <t>2 — Repeatable</t>
        </is>
      </c>
      <c r="B207" s="60" t="inlineStr">
        <is>
          <t>Ad hoc collaboration with other teams, typically reactive to incidents or specific requests.</t>
        </is>
      </c>
      <c r="C207" s="60" t="inlineStr">
        <is>
          <t>Occasional reactive collaboration; no formal processes.</t>
        </is>
      </c>
    </row>
    <row r="208" ht="42" customHeight="1">
      <c r="A208" s="61" t="inlineStr">
        <is>
          <t>3 — Defined</t>
        </is>
      </c>
      <c r="B208" s="62" t="inlineStr">
        <is>
          <t>Regular collaboration with IR, threat intel, and engineering teams through defined channels and scheduled touchpoints.</t>
        </is>
      </c>
      <c r="C208" s="62" t="inlineStr">
        <is>
          <t>Regular scheduled touchpoints; defined collaboration channels.</t>
        </is>
      </c>
    </row>
    <row r="209" ht="42" customHeight="1">
      <c r="A209" s="63" t="inlineStr">
        <is>
          <t>4 — Managed</t>
        </is>
      </c>
      <c r="B209" s="64" t="inlineStr">
        <is>
          <t>Deep integration with related teams. Joint planning, shared objectives, and integrated workflows (e.g., threat intel feeds directly inform detection priorities).</t>
        </is>
      </c>
      <c r="C209" s="64" t="inlineStr">
        <is>
          <t>Joint planning sessions; shared objectives; integrated workflows.</t>
        </is>
      </c>
    </row>
    <row r="210" ht="42" customHeight="1">
      <c r="A210" s="65" t="inlineStr">
        <is>
          <t>5 — Optimized</t>
        </is>
      </c>
      <c r="B210" s="66" t="inlineStr">
        <is>
          <t>Seamless cross-functional collaboration. Detection engineering is embedded in security operations with automated information sharing.</t>
        </is>
      </c>
      <c r="C210" s="66"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xl/worksheets/sheet7.xml><?xml version="1.0" encoding="utf-8"?>
<worksheet xmlns="http://schemas.openxmlformats.org/spreadsheetml/2006/main">
  <sheetPr>
    <tabColor rgb="002D3E5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2" customWidth="1" min="3" max="3"/>
    <col width="34" customWidth="1" min="4" max="4"/>
    <col width="12" customWidth="1" min="5" max="5"/>
    <col width="16" customWidth="1" min="6" max="6"/>
    <col width="16" customWidth="1" min="7" max="7"/>
  </cols>
  <sheetData>
    <row r="1">
      <c r="A1" s="68" t="inlineStr">
        <is>
          <t>SUMMARY</t>
        </is>
      </c>
      <c r="B1" s="68" t="n"/>
    </row>
    <row r="2">
      <c r="A2" s="69" t="inlineStr">
        <is>
          <t>Organization</t>
        </is>
      </c>
      <c r="B2" s="48">
        <f>Assessment!D4</f>
        <v/>
      </c>
    </row>
    <row r="3">
      <c r="A3" s="69" t="inlineStr">
        <is>
          <t>Assessor</t>
        </is>
      </c>
      <c r="B3" s="48">
        <f>Assessment!D5</f>
        <v/>
      </c>
    </row>
    <row r="4">
      <c r="A4" s="69" t="inlineStr">
        <is>
          <t>Date</t>
        </is>
      </c>
      <c r="B4" s="48">
        <f>Assessment!D7</f>
        <v/>
      </c>
    </row>
    <row r="5">
      <c r="A5" s="69" t="inlineStr">
        <is>
          <t>Assessment Type</t>
        </is>
      </c>
      <c r="B5" s="48">
        <f>Assessment!D8</f>
        <v/>
      </c>
    </row>
    <row r="6">
      <c r="A6" s="69" t="inlineStr">
        <is>
          <t>Overall Score</t>
        </is>
      </c>
      <c r="B6" s="70">
        <f>IF(COUNT(D18,D19,D20,D21,D22,D23,D24,D25,D26,D27,D28,D29,D30,D31,D32,D33,D34,D35,D36,D37,D38,D39,D40,D41)=0,"",ROUND(AVERAGE(D18,D19,D20,D21,D22,D23,D24,D25,D26,D27,D28,D29,D30,D31,D32,D33,D34,D35,D36,D37,D38,D39,D40,D41),2))</f>
        <v/>
      </c>
    </row>
    <row r="7">
      <c r="A7" s="69" t="inlineStr">
        <is>
          <t>Achieved Tier</t>
        </is>
      </c>
      <c r="B7" s="48">
        <f>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Tier 4: Expert",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Tier 3: Advanced",IF(AND(AND(ISNUMBER(D18),D18&gt;=3,ISNUMBER(D19),D19&gt;=3,ISNUMBER(D20),D20&gt;=3,ISNUMBER(D21),D21&gt;=3),AND(ISNUMBER(D22),D22&gt;=3,ISNUMBER(D23),D23&gt;=3,ISNUMBER(D24),D24&gt;=3,ISNUMBER(D25),D25&gt;=3,ISNUMBER(D26),D26&gt;=3,ISNUMBER(D27),D27&gt;=3),AND(ISNUMBER(D28),D28&gt;=3,ISNUMBER(D29),D29&gt;=3,ISNUMBER(D30),D30&gt;=3)),"Tier 2: Intermediate",IF(AND(AND(ISNUMBER(D18),D18&gt;=3,ISNUMBER(D19),D19&gt;=3,ISNUMBER(D20),D20&gt;=3,ISNUMBER(D21),D21&gt;=3),AND(ISNUMBER(D22),D22&gt;=3,ISNUMBER(D23),D23&gt;=3,ISNUMBER(D24),D24&gt;=3,ISNUMBER(D25),D25&gt;=3,ISNUMBER(D26),D26&gt;=3,ISNUMBER(D27),D27&gt;=3)),"Tier 1: Basic",IF(AND(AND(ISNUMBER(D18),D18&gt;=3,ISNUMBER(D19),D19&gt;=3,ISNUMBER(D20),D20&gt;=3,ISNUMBER(D21),D21&gt;=3)),"Tier 0: Foundation","Below Foundation")))))</f>
        <v/>
      </c>
    </row>
    <row r="8">
      <c r="A8" s="69" t="inlineStr">
        <is>
          <t>Completion</t>
        </is>
      </c>
      <c r="B8" s="48">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row>
    <row r="10">
      <c r="A10" s="71" t="inlineStr">
        <is>
          <t>Tier</t>
        </is>
      </c>
      <c r="B10" s="71" t="inlineStr">
        <is>
          <t>Tier Name</t>
        </is>
      </c>
      <c r="C10" s="71" t="inlineStr">
        <is>
          <t>Score</t>
        </is>
      </c>
      <c r="D10" s="71" t="inlineStr">
        <is>
          <t>Level</t>
        </is>
      </c>
      <c r="E10" s="71" t="inlineStr">
        <is>
          <t>Status</t>
        </is>
      </c>
      <c r="F10" s="71" t="inlineStr">
        <is>
          <t>Progression</t>
        </is>
      </c>
    </row>
    <row r="11">
      <c r="A11" s="72" t="inlineStr">
        <is>
          <t>T0</t>
        </is>
      </c>
      <c r="B11" s="73" t="inlineStr">
        <is>
          <t>Foundation</t>
        </is>
      </c>
      <c r="C11" s="54">
        <f>IF(COUNT(Assessment!F15,Assessment!F16,Assessment!F17,Assessment!F18,Assessment!F19,Assessment!F20,Assessment!F21)=0,"",AVERAGE(Assessment!F15,Assessment!F16,Assessment!F17,Assessment!F18,Assessment!F19,Assessment!F20,Assessment!F21))</f>
        <v/>
      </c>
      <c r="D11" s="74">
        <f>IF(C11="","",IF(C11&gt;=4.5,"Optimized",IF(C11&gt;=3.5,"Managed",IF(C11&gt;=2.5,"Defined",IF(C11&gt;=1.5,"Repeatable","Initial")))))</f>
        <v/>
      </c>
      <c r="E11" s="74">
        <f>IF(C11="","",IF(C11&gt;=3,"✓ Pass","✗ Below Target"))</f>
        <v/>
      </c>
      <c r="F11" s="72">
        <f>IF(C11="","Not Started",IF(AND(AND(ISNUMBER(D18),D18&gt;=3,ISNUMBER(D19),D19&gt;=3,ISNUMBER(D20),D20&gt;=3,ISNUMBER(D21),D21&gt;=3)),"Complete",IF(TRUE,"Current","In Progress")))</f>
        <v/>
      </c>
    </row>
    <row r="12">
      <c r="A12" s="72" t="inlineStr">
        <is>
          <t>T1</t>
        </is>
      </c>
      <c r="B12" s="73" t="inlineStr">
        <is>
          <t>Basic</t>
        </is>
      </c>
      <c r="C12" s="54">
        <f>IF(COUNT(Assessment!F24,Assessment!F25,Assessment!F26,Assessment!F27,Assessment!F28,Assessment!F29,Assessment!F30,Assessment!F31,Assessment!F32)=0,"",AVERAGE(Assessment!F24,Assessment!F25,Assessment!F26,Assessment!F27,Assessment!F28,Assessment!F29,Assessment!F30,Assessment!F31,Assessment!F32))</f>
        <v/>
      </c>
      <c r="D12" s="74">
        <f>IF(C12="","",IF(C12&gt;=4.5,"Optimized",IF(C12&gt;=3.5,"Managed",IF(C12&gt;=2.5,"Defined",IF(C12&gt;=1.5,"Repeatable","Initial")))))</f>
        <v/>
      </c>
      <c r="E12" s="74">
        <f>IF(C12="","",IF(C12&gt;=3,"✓ Pass","✗ Below Target"))</f>
        <v/>
      </c>
      <c r="F12" s="72">
        <f>IF(C12="","Not Started",IF(AND(AND(ISNUMBER(D18),D18&gt;=3,ISNUMBER(D19),D19&gt;=3,ISNUMBER(D20),D20&gt;=3,ISNUMBER(D21),D21&gt;=3),AND(ISNUMBER(D22),D22&gt;=3,ISNUMBER(D23),D23&gt;=3,ISNUMBER(D24),D24&gt;=3,ISNUMBER(D25),D25&gt;=3,ISNUMBER(D26),D26&gt;=3,ISNUMBER(D27),D27&gt;=3)),"Complete",IF(AND(AND(ISNUMBER(D18),D18&gt;=3,ISNUMBER(D19),D19&gt;=3,ISNUMBER(D20),D20&gt;=3,ISNUMBER(D21),D21&gt;=3)),"Current","In Progress")))</f>
        <v/>
      </c>
    </row>
    <row r="13">
      <c r="A13" s="72" t="inlineStr">
        <is>
          <t>T2</t>
        </is>
      </c>
      <c r="B13" s="73" t="inlineStr">
        <is>
          <t>Intermediate</t>
        </is>
      </c>
      <c r="C13" s="54">
        <f>IF(COUNT(Assessment!F35,Assessment!F36,Assessment!F37,Assessment!F38,Assessment!F39,Assessment!F40)=0,"",AVERAGE(Assessment!F35,Assessment!F36,Assessment!F37,Assessment!F38,Assessment!F39,Assessment!F40))</f>
        <v/>
      </c>
      <c r="D13" s="74">
        <f>IF(C13="","",IF(C13&gt;=4.5,"Optimized",IF(C13&gt;=3.5,"Managed",IF(C13&gt;=2.5,"Defined",IF(C13&gt;=1.5,"Repeatable","Initial")))))</f>
        <v/>
      </c>
      <c r="E13" s="74">
        <f>IF(C13="","",IF(C13&gt;=3,"✓ Pass","✗ Below Target"))</f>
        <v/>
      </c>
      <c r="F13" s="72">
        <f>IF(C13="","Not Started",IF(AND(AND(ISNUMBER(D18),D18&gt;=3,ISNUMBER(D19),D19&gt;=3,ISNUMBER(D20),D20&gt;=3,ISNUMBER(D21),D21&gt;=3),AND(ISNUMBER(D22),D22&gt;=3,ISNUMBER(D23),D23&gt;=3,ISNUMBER(D24),D24&gt;=3,ISNUMBER(D25),D25&gt;=3,ISNUMBER(D26),D26&gt;=3,ISNUMBER(D27),D27&gt;=3),AND(ISNUMBER(D28),D28&gt;=3,ISNUMBER(D29),D29&gt;=3,ISNUMBER(D30),D30&gt;=3)),"Complete",IF(AND(AND(ISNUMBER(D18),D18&gt;=3,ISNUMBER(D19),D19&gt;=3,ISNUMBER(D20),D20&gt;=3,ISNUMBER(D21),D21&gt;=3),AND(ISNUMBER(D22),D22&gt;=3,ISNUMBER(D23),D23&gt;=3,ISNUMBER(D24),D24&gt;=3,ISNUMBER(D25),D25&gt;=3,ISNUMBER(D26),D26&gt;=3,ISNUMBER(D27),D27&gt;=3)),"Current","In Progress")))</f>
        <v/>
      </c>
    </row>
    <row r="14">
      <c r="A14" s="72" t="inlineStr">
        <is>
          <t>T3</t>
        </is>
      </c>
      <c r="B14" s="73" t="inlineStr">
        <is>
          <t>Advanced</t>
        </is>
      </c>
      <c r="C14" s="54">
        <f>IF(COUNT(Assessment!F43,Assessment!F44,Assessment!F45,Assessment!F46,Assessment!F47)=0,"",AVERAGE(Assessment!F43,Assessment!F44,Assessment!F45,Assessment!F46,Assessment!F47))</f>
        <v/>
      </c>
      <c r="D14" s="74">
        <f>IF(C14="","",IF(C14&gt;=4.5,"Optimized",IF(C14&gt;=3.5,"Managed",IF(C14&gt;=2.5,"Defined",IF(C14&gt;=1.5,"Repeatable","Initial")))))</f>
        <v/>
      </c>
      <c r="E14" s="74">
        <f>IF(C14="","",IF(C14&gt;=3,"✓ Pass","✗ Below Target"))</f>
        <v/>
      </c>
      <c r="F14" s="72">
        <f>IF(C14="","Not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omplete",IF(AND(AND(ISNUMBER(D18),D18&gt;=3,ISNUMBER(D19),D19&gt;=3,ISNUMBER(D20),D20&gt;=3,ISNUMBER(D21),D21&gt;=3),AND(ISNUMBER(D22),D22&gt;=3,ISNUMBER(D23),D23&gt;=3,ISNUMBER(D24),D24&gt;=3,ISNUMBER(D25),D25&gt;=3,ISNUMBER(D26),D26&gt;=3,ISNUMBER(D27),D27&gt;=3),AND(ISNUMBER(D28),D28&gt;=3,ISNUMBER(D29),D29&gt;=3,ISNUMBER(D30),D30&gt;=3)),"Current","In Progress")))</f>
        <v/>
      </c>
    </row>
    <row r="15">
      <c r="A15" s="72" t="inlineStr">
        <is>
          <t>T4</t>
        </is>
      </c>
      <c r="B15" s="73" t="inlineStr">
        <is>
          <t>Expert</t>
        </is>
      </c>
      <c r="C15" s="54">
        <f>IF(COUNT(Assessment!F50,Assessment!F51,Assessment!F52,Assessment!F53,Assessment!F54)=0,"",AVERAGE(Assessment!F50,Assessment!F51,Assessment!F52,Assessment!F53,Assessment!F54))</f>
        <v/>
      </c>
      <c r="D15" s="74">
        <f>IF(C15="","",IF(C15&gt;=4.5,"Optimized",IF(C15&gt;=3.5,"Managed",IF(C15&gt;=2.5,"Defined",IF(C15&gt;=1.5,"Repeatable","Initial")))))</f>
        <v/>
      </c>
      <c r="E15" s="74">
        <f>IF(C15="","",IF(C15&gt;=3,"✓ Pass","✗ Below Target"))</f>
        <v/>
      </c>
      <c r="F15" s="72">
        <f>IF(C15="","Not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Complete",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urrent","In Progress")))</f>
        <v/>
      </c>
    </row>
    <row r="17">
      <c r="A17" s="14" t="inlineStr">
        <is>
          <t>Section</t>
        </is>
      </c>
      <c r="B17" s="14" t="inlineStr">
        <is>
          <t>Category</t>
        </is>
      </c>
      <c r="C17" s="14" t="inlineStr">
        <is>
          <t>Criterion</t>
        </is>
      </c>
      <c r="D17" s="14" t="inlineStr">
        <is>
          <t>Score</t>
        </is>
      </c>
      <c r="E17" s="14" t="inlineStr">
        <is>
          <t>Level</t>
        </is>
      </c>
      <c r="F17" s="14" t="inlineStr">
        <is>
          <t>Status</t>
        </is>
      </c>
    </row>
    <row r="18">
      <c r="A18" s="48" t="inlineStr">
        <is>
          <t>DEBMM Core</t>
        </is>
      </c>
      <c r="B18" s="48" t="inlineStr">
        <is>
          <t>Foundation</t>
        </is>
      </c>
      <c r="C18" s="69" t="inlineStr">
        <is>
          <t>Structured Rule Development Approach</t>
        </is>
      </c>
      <c r="D18" s="49">
        <f>IF(COUNT(Assessment!F15,Assessment!F16)=0,"",AVERAGE(Assessment!F15,Assessment!F16))</f>
        <v/>
      </c>
      <c r="E18" s="50">
        <f>IF(D18="","",IF(D18&gt;=4.5,"Optimized",IF(D18&gt;=3.5,"Managed",IF(D18&gt;=2.5,"Defined",IF(D18&gt;=1.5,"Repeatable","Initial")))))</f>
        <v/>
      </c>
      <c r="F18" s="50">
        <f>IF(D18="","",IF(D18&gt;=3,"✓ Pass","✗ Below Target"))</f>
        <v/>
      </c>
    </row>
    <row r="19">
      <c r="A19" s="48" t="inlineStr">
        <is>
          <t>DEBMM Core</t>
        </is>
      </c>
      <c r="B19" s="48" t="inlineStr">
        <is>
          <t>Foundation</t>
        </is>
      </c>
      <c r="C19" s="69" t="inlineStr">
        <is>
          <t>Rule Creation and Maintenance</t>
        </is>
      </c>
      <c r="D19" s="49">
        <f>IF(COUNT(Assessment!F17)=0,"",AVERAGE(Assessment!F17))</f>
        <v/>
      </c>
      <c r="E19" s="50">
        <f>IF(D19="","",IF(D19&gt;=4.5,"Optimized",IF(D19&gt;=3.5,"Managed",IF(D19&gt;=2.5,"Defined",IF(D19&gt;=1.5,"Repeatable","Initial")))))</f>
        <v/>
      </c>
      <c r="F19" s="50">
        <f>IF(D19="","",IF(D19&gt;=3,"✓ Pass","✗ Below Target"))</f>
        <v/>
      </c>
    </row>
    <row r="20">
      <c r="A20" s="48" t="inlineStr">
        <is>
          <t>DEBMM Core</t>
        </is>
      </c>
      <c r="B20" s="48" t="inlineStr">
        <is>
          <t>Foundation</t>
        </is>
      </c>
      <c r="C20" s="69" t="inlineStr">
        <is>
          <t>Roadmap Documentation</t>
        </is>
      </c>
      <c r="D20" s="49">
        <f>IF(COUNT(Assessment!F18)=0,"",AVERAGE(Assessment!F18))</f>
        <v/>
      </c>
      <c r="E20" s="50">
        <f>IF(D20="","",IF(D20&gt;=4.5,"Optimized",IF(D20&gt;=3.5,"Managed",IF(D20&gt;=2.5,"Defined",IF(D20&gt;=1.5,"Repeatable","Initial")))))</f>
        <v/>
      </c>
      <c r="F20" s="50">
        <f>IF(D20="","",IF(D20&gt;=3,"✓ Pass","✗ Below Target"))</f>
        <v/>
      </c>
    </row>
    <row r="21">
      <c r="A21" s="48" t="inlineStr">
        <is>
          <t>DEBMM Core</t>
        </is>
      </c>
      <c r="B21" s="48" t="inlineStr">
        <is>
          <t>Foundation</t>
        </is>
      </c>
      <c r="C21" s="69" t="inlineStr">
        <is>
          <t>Threat Modeling</t>
        </is>
      </c>
      <c r="D21" s="49">
        <f>IF(COUNT(Assessment!F19,Assessment!F20,Assessment!F21)=0,"",AVERAGE(Assessment!F19,Assessment!F20,Assessment!F21))</f>
        <v/>
      </c>
      <c r="E21" s="50">
        <f>IF(D21="","",IF(D21&gt;=4.5,"Optimized",IF(D21&gt;=3.5,"Managed",IF(D21&gt;=2.5,"Defined",IF(D21&gt;=1.5,"Repeatable","Initial")))))</f>
        <v/>
      </c>
      <c r="F21" s="50">
        <f>IF(D21="","",IF(D21&gt;=3,"✓ Pass","✗ Below Target"))</f>
        <v/>
      </c>
    </row>
    <row r="22">
      <c r="A22" s="48" t="inlineStr">
        <is>
          <t>DEBMM Core</t>
        </is>
      </c>
      <c r="B22" s="48" t="inlineStr">
        <is>
          <t>Basic</t>
        </is>
      </c>
      <c r="C22" s="69" t="inlineStr">
        <is>
          <t>Baseline Rule Creation</t>
        </is>
      </c>
      <c r="D22" s="49">
        <f>IF(COUNT(Assessment!F24,Assessment!F25)=0,"",AVERAGE(Assessment!F24,Assessment!F25))</f>
        <v/>
      </c>
      <c r="E22" s="50">
        <f>IF(D22="","",IF(D22&gt;=4.5,"Optimized",IF(D22&gt;=3.5,"Managed",IF(D22&gt;=2.5,"Defined",IF(D22&gt;=1.5,"Repeatable","Initial")))))</f>
        <v/>
      </c>
      <c r="F22" s="50">
        <f>IF(D22="","",IF(D22&gt;=3,"✓ Pass","✗ Below Target"))</f>
        <v/>
      </c>
    </row>
    <row r="23">
      <c r="A23" s="48" t="inlineStr">
        <is>
          <t>DEBMM Core</t>
        </is>
      </c>
      <c r="B23" s="48" t="inlineStr">
        <is>
          <t>Basic</t>
        </is>
      </c>
      <c r="C23" s="69" t="inlineStr">
        <is>
          <t>Ruleset Management and Maintenance</t>
        </is>
      </c>
      <c r="D23" s="49">
        <f>IF(COUNT(Assessment!F26)=0,"",AVERAGE(Assessment!F26))</f>
        <v/>
      </c>
      <c r="E23" s="50">
        <f>IF(D23="","",IF(D23&gt;=4.5,"Optimized",IF(D23&gt;=3.5,"Managed",IF(D23&gt;=2.5,"Defined",IF(D23&gt;=1.5,"Repeatable","Initial")))))</f>
        <v/>
      </c>
      <c r="F23" s="50">
        <f>IF(D23="","",IF(D23&gt;=3,"✓ Pass","✗ Below Target"))</f>
        <v/>
      </c>
    </row>
    <row r="24">
      <c r="A24" s="48" t="inlineStr">
        <is>
          <t>DEBMM Core</t>
        </is>
      </c>
      <c r="B24" s="48" t="inlineStr">
        <is>
          <t>Basic</t>
        </is>
      </c>
      <c r="C24" s="69" t="inlineStr">
        <is>
          <t>Telemetry Quality</t>
        </is>
      </c>
      <c r="D24" s="49">
        <f>IF(COUNT(Assessment!F27,Assessment!F28,Assessment!F29)=0,"",AVERAGE(Assessment!F27,Assessment!F28,Assessment!F29))</f>
        <v/>
      </c>
      <c r="E24" s="50">
        <f>IF(D24="","",IF(D24&gt;=4.5,"Optimized",IF(D24&gt;=3.5,"Managed",IF(D24&gt;=2.5,"Defined",IF(D24&gt;=1.5,"Repeatable","Initial")))))</f>
        <v/>
      </c>
      <c r="F24" s="50">
        <f>IF(D24="","",IF(D24&gt;=3,"✓ Pass","✗ Below Target"))</f>
        <v/>
      </c>
    </row>
    <row r="25">
      <c r="A25" s="48" t="inlineStr">
        <is>
          <t>DEBMM Core</t>
        </is>
      </c>
      <c r="B25" s="48" t="inlineStr">
        <is>
          <t>Basic</t>
        </is>
      </c>
      <c r="C25" s="69" t="inlineStr">
        <is>
          <t>Threat Landscape Review</t>
        </is>
      </c>
      <c r="D25" s="49">
        <f>IF(COUNT(Assessment!F30)=0,"",AVERAGE(Assessment!F30))</f>
        <v/>
      </c>
      <c r="E25" s="50">
        <f>IF(D25="","",IF(D25&gt;=4.5,"Optimized",IF(D25&gt;=3.5,"Managed",IF(D25&gt;=2.5,"Defined",IF(D25&gt;=1.5,"Repeatable","Initial")))))</f>
        <v/>
      </c>
      <c r="F25" s="50">
        <f>IF(D25="","",IF(D25&gt;=3,"✓ Pass","✗ Below Target"))</f>
        <v/>
      </c>
    </row>
    <row r="26">
      <c r="A26" s="48" t="inlineStr">
        <is>
          <t>DEBMM Core</t>
        </is>
      </c>
      <c r="B26" s="48" t="inlineStr">
        <is>
          <t>Basic</t>
        </is>
      </c>
      <c r="C26" s="69" t="inlineStr">
        <is>
          <t>Product Owner Engagement</t>
        </is>
      </c>
      <c r="D26" s="49">
        <f>IF(COUNT(Assessment!F31)=0,"",AVERAGE(Assessment!F31))</f>
        <v/>
      </c>
      <c r="E26" s="50">
        <f>IF(D26="","",IF(D26&gt;=4.5,"Optimized",IF(D26&gt;=3.5,"Managed",IF(D26&gt;=2.5,"Defined",IF(D26&gt;=1.5,"Repeatable","Initial")))))</f>
        <v/>
      </c>
      <c r="F26" s="50">
        <f>IF(D26="","",IF(D26&gt;=3,"✓ Pass","✗ Below Target"))</f>
        <v/>
      </c>
    </row>
    <row r="27">
      <c r="A27" s="48" t="inlineStr">
        <is>
          <t>DEBMM Core</t>
        </is>
      </c>
      <c r="B27" s="48" t="inlineStr">
        <is>
          <t>Basic</t>
        </is>
      </c>
      <c r="C27" s="69" t="inlineStr">
        <is>
          <t>Release Testing and Validation</t>
        </is>
      </c>
      <c r="D27" s="49">
        <f>IF(COUNT(Assessment!F32)=0,"",AVERAGE(Assessment!F32))</f>
        <v/>
      </c>
      <c r="E27" s="50">
        <f>IF(D27="","",IF(D27&gt;=4.5,"Optimized",IF(D27&gt;=3.5,"Managed",IF(D27&gt;=2.5,"Defined",IF(D27&gt;=1.5,"Repeatable","Initial")))))</f>
        <v/>
      </c>
      <c r="F27" s="50">
        <f>IF(D27="","",IF(D27&gt;=3,"✓ Pass","✗ Below Target"))</f>
        <v/>
      </c>
    </row>
    <row r="28">
      <c r="A28" s="48" t="inlineStr">
        <is>
          <t>DEBMM Core</t>
        </is>
      </c>
      <c r="B28" s="48" t="inlineStr">
        <is>
          <t>Intermediate</t>
        </is>
      </c>
      <c r="C28" s="69" t="inlineStr">
        <is>
          <t>False Positive Tuning and Reduction</t>
        </is>
      </c>
      <c r="D28" s="49">
        <f>IF(COUNT(Assessment!F35,Assessment!F36)=0,"",AVERAGE(Assessment!F35,Assessment!F36))</f>
        <v/>
      </c>
      <c r="E28" s="50">
        <f>IF(D28="","",IF(D28&gt;=4.5,"Optimized",IF(D28&gt;=3.5,"Managed",IF(D28&gt;=2.5,"Defined",IF(D28&gt;=1.5,"Repeatable","Initial")))))</f>
        <v/>
      </c>
      <c r="F28" s="50">
        <f>IF(D28="","",IF(D28&gt;=3,"✓ Pass","✗ Below Target"))</f>
        <v/>
      </c>
    </row>
    <row r="29">
      <c r="A29" s="48" t="inlineStr">
        <is>
          <t>DEBMM Core</t>
        </is>
      </c>
      <c r="B29" s="48" t="inlineStr">
        <is>
          <t>Intermediate</t>
        </is>
      </c>
      <c r="C29" s="69" t="inlineStr">
        <is>
          <t>Gap Analysis and Documentation</t>
        </is>
      </c>
      <c r="D29" s="49">
        <f>IF(COUNT(Assessment!F37,Assessment!F38,Assessment!F39)=0,"",AVERAGE(Assessment!F37,Assessment!F38,Assessment!F39))</f>
        <v/>
      </c>
      <c r="E29" s="50">
        <f>IF(D29="","",IF(D29&gt;=4.5,"Optimized",IF(D29&gt;=3.5,"Managed",IF(D29&gt;=2.5,"Defined",IF(D29&gt;=1.5,"Repeatable","Initial")))))</f>
        <v/>
      </c>
      <c r="F29" s="50">
        <f>IF(D29="","",IF(D29&gt;=3,"✓ Pass","✗ Below Target"))</f>
        <v/>
      </c>
    </row>
    <row r="30">
      <c r="A30" s="48" t="inlineStr">
        <is>
          <t>DEBMM Core</t>
        </is>
      </c>
      <c r="B30" s="48" t="inlineStr">
        <is>
          <t>Intermediate</t>
        </is>
      </c>
      <c r="C30" s="69" t="inlineStr">
        <is>
          <t>Internal Testing and Validation</t>
        </is>
      </c>
      <c r="D30" s="49">
        <f>IF(COUNT(Assessment!F40)=0,"",AVERAGE(Assessment!F40))</f>
        <v/>
      </c>
      <c r="E30" s="50">
        <f>IF(D30="","",IF(D30&gt;=4.5,"Optimized",IF(D30&gt;=3.5,"Managed",IF(D30&gt;=2.5,"Defined",IF(D30&gt;=1.5,"Repeatable","Initial")))))</f>
        <v/>
      </c>
      <c r="F30" s="50">
        <f>IF(D30="","",IF(D30&gt;=3,"✓ Pass","✗ Below Target"))</f>
        <v/>
      </c>
    </row>
    <row r="31">
      <c r="A31" s="48" t="inlineStr">
        <is>
          <t>DEBMM Core</t>
        </is>
      </c>
      <c r="B31" s="48" t="inlineStr">
        <is>
          <t>Advanced</t>
        </is>
      </c>
      <c r="C31" s="69" t="inlineStr">
        <is>
          <t>False Negative Triage</t>
        </is>
      </c>
      <c r="D31" s="49">
        <f>IF(COUNT(Assessment!F43,Assessment!F44)=0,"",AVERAGE(Assessment!F43,Assessment!F44))</f>
        <v/>
      </c>
      <c r="E31" s="50">
        <f>IF(D31="","",IF(D31&gt;=4.5,"Optimized",IF(D31&gt;=3.5,"Managed",IF(D31&gt;=2.5,"Defined",IF(D31&gt;=1.5,"Repeatable","Initial")))))</f>
        <v/>
      </c>
      <c r="F31" s="50">
        <f>IF(D31="","",IF(D31&gt;=3,"✓ Pass","✗ Below Target"))</f>
        <v/>
      </c>
    </row>
    <row r="32">
      <c r="A32" s="48" t="inlineStr">
        <is>
          <t>DEBMM Core</t>
        </is>
      </c>
      <c r="B32" s="48" t="inlineStr">
        <is>
          <t>Advanced</t>
        </is>
      </c>
      <c r="C32" s="69" t="inlineStr">
        <is>
          <t>External Validation</t>
        </is>
      </c>
      <c r="D32" s="49">
        <f>IF(COUNT(Assessment!F45)=0,"",AVERAGE(Assessment!F45))</f>
        <v/>
      </c>
      <c r="E32" s="50">
        <f>IF(D32="","",IF(D32&gt;=4.5,"Optimized",IF(D32&gt;=3.5,"Managed",IF(D32&gt;=2.5,"Defined",IF(D32&gt;=1.5,"Repeatable","Initial")))))</f>
        <v/>
      </c>
      <c r="F32" s="50">
        <f>IF(D32="","",IF(D32&gt;=3,"✓ Pass","✗ Below Target"))</f>
        <v/>
      </c>
    </row>
    <row r="33">
      <c r="A33" s="48" t="inlineStr">
        <is>
          <t>DEBMM Core</t>
        </is>
      </c>
      <c r="B33" s="48" t="inlineStr">
        <is>
          <t>Advanced</t>
        </is>
      </c>
      <c r="C33" s="69" t="inlineStr">
        <is>
          <t>Advanced TTP Coverage</t>
        </is>
      </c>
      <c r="D33" s="49">
        <f>IF(COUNT(Assessment!F46,Assessment!F47)=0,"",AVERAGE(Assessment!F46,Assessment!F47))</f>
        <v/>
      </c>
      <c r="E33" s="50">
        <f>IF(D33="","",IF(D33&gt;=4.5,"Optimized",IF(D33&gt;=3.5,"Managed",IF(D33&gt;=2.5,"Defined",IF(D33&gt;=1.5,"Repeatable","Initial")))))</f>
        <v/>
      </c>
      <c r="F33" s="50">
        <f>IF(D33="","",IF(D33&gt;=3,"✓ Pass","✗ Below Target"))</f>
        <v/>
      </c>
    </row>
    <row r="34">
      <c r="A34" s="48" t="inlineStr">
        <is>
          <t>DEBMM Core</t>
        </is>
      </c>
      <c r="B34" s="48" t="inlineStr">
        <is>
          <t>Expert</t>
        </is>
      </c>
      <c r="C34" s="69" t="inlineStr">
        <is>
          <t>Threat Hunting in Telemetry</t>
        </is>
      </c>
      <c r="D34" s="49">
        <f>IF(COUNT(Assessment!F50,Assessment!F51,Assessment!F52)=0,"",AVERAGE(Assessment!F50,Assessment!F51,Assessment!F52))</f>
        <v/>
      </c>
      <c r="E34" s="50">
        <f>IF(D34="","",IF(D34&gt;=4.5,"Optimized",IF(D34&gt;=3.5,"Managed",IF(D34&gt;=2.5,"Defined",IF(D34&gt;=1.5,"Repeatable","Initial")))))</f>
        <v/>
      </c>
      <c r="F34" s="50">
        <f>IF(D34="","",IF(D34&gt;=3,"✓ Pass","✗ Below Target"))</f>
        <v/>
      </c>
    </row>
    <row r="35">
      <c r="A35" s="48" t="inlineStr">
        <is>
          <t>DEBMM Core</t>
        </is>
      </c>
      <c r="B35" s="48" t="inlineStr">
        <is>
          <t>Expert</t>
        </is>
      </c>
      <c r="C35" s="69" t="inlineStr">
        <is>
          <t>Automation and Continuous Improvement</t>
        </is>
      </c>
      <c r="D35" s="49">
        <f>IF(COUNT(Assessment!F53,Assessment!F54)=0,"",AVERAGE(Assessment!F53,Assessment!F54))</f>
        <v/>
      </c>
      <c r="E35" s="50">
        <f>IF(D35="","",IF(D35&gt;=4.5,"Optimized",IF(D35&gt;=3.5,"Managed",IF(D35&gt;=2.5,"Defined",IF(D35&gt;=1.5,"Repeatable","Initial")))))</f>
        <v/>
      </c>
      <c r="F35" s="50">
        <f>IF(D35="","",IF(D35&gt;=3,"✓ Pass","✗ Below Target"))</f>
        <v/>
      </c>
    </row>
    <row r="36">
      <c r="A36" s="48" t="inlineStr">
        <is>
          <t>Enrichment</t>
        </is>
      </c>
      <c r="B36" s="48" t="inlineStr">
        <is>
          <t>People &amp; Organization</t>
        </is>
      </c>
      <c r="C36" s="69" t="inlineStr">
        <is>
          <t>Team Structure and Dedicated Roles</t>
        </is>
      </c>
      <c r="D36" s="49">
        <f>IF(COUNT(Assessment!F61)=0,"",AVERAGE(Assessment!F61))</f>
        <v/>
      </c>
      <c r="E36" s="50">
        <f>IF(D36="","",IF(D36&gt;=4.5,"Optimized",IF(D36&gt;=3.5,"Managed",IF(D36&gt;=2.5,"Defined",IF(D36&gt;=1.5,"Repeatable","Initial")))))</f>
        <v/>
      </c>
      <c r="F36" s="50">
        <f>IF(D36="","",IF(D36&gt;=3,"✓ Pass","✗ Below Target"))</f>
        <v/>
      </c>
    </row>
    <row r="37">
      <c r="A37" s="48" t="inlineStr">
        <is>
          <t>Enrichment</t>
        </is>
      </c>
      <c r="B37" s="48" t="inlineStr">
        <is>
          <t>People &amp; Organization</t>
        </is>
      </c>
      <c r="C37" s="69" t="inlineStr">
        <is>
          <t>Skills Development and Training</t>
        </is>
      </c>
      <c r="D37" s="49">
        <f>IF(COUNT(Assessment!F62)=0,"",AVERAGE(Assessment!F62))</f>
        <v/>
      </c>
      <c r="E37" s="50">
        <f>IF(D37="","",IF(D37&gt;=4.5,"Optimized",IF(D37&gt;=3.5,"Managed",IF(D37&gt;=2.5,"Defined",IF(D37&gt;=1.5,"Repeatable","Initial")))))</f>
        <v/>
      </c>
      <c r="F37" s="50">
        <f>IF(D37="","",IF(D37&gt;=3,"✓ Pass","✗ Below Target"))</f>
        <v/>
      </c>
    </row>
    <row r="38">
      <c r="A38" s="48" t="inlineStr">
        <is>
          <t>Enrichment</t>
        </is>
      </c>
      <c r="B38" s="48" t="inlineStr">
        <is>
          <t>People &amp; Organization</t>
        </is>
      </c>
      <c r="C38" s="69" t="inlineStr">
        <is>
          <t>Leadership Commitment and Executive Sponsorship</t>
        </is>
      </c>
      <c r="D38" s="49">
        <f>IF(COUNT(Assessment!F63,Assessment!F64,Assessment!F65)=0,"",AVERAGE(Assessment!F63,Assessment!F64,Assessment!F65))</f>
        <v/>
      </c>
      <c r="E38" s="50">
        <f>IF(D38="","",IF(D38&gt;=4.5,"Optimized",IF(D38&gt;=3.5,"Managed",IF(D38&gt;=2.5,"Defined",IF(D38&gt;=1.5,"Repeatable","Initial")))))</f>
        <v/>
      </c>
      <c r="F38" s="50">
        <f>IF(D38="","",IF(D38&gt;=3,"✓ Pass","✗ Below Target"))</f>
        <v/>
      </c>
    </row>
    <row r="39">
      <c r="A39" s="48" t="inlineStr">
        <is>
          <t>Enrichment</t>
        </is>
      </c>
      <c r="B39" s="48" t="inlineStr">
        <is>
          <t>Process &amp; Governance</t>
        </is>
      </c>
      <c r="C39" s="69" t="inlineStr">
        <is>
          <t>Detection Lifecycle Workflow</t>
        </is>
      </c>
      <c r="D39" s="49">
        <f>IF(COUNT(Assessment!F68)=0,"",AVERAGE(Assessment!F68))</f>
        <v/>
      </c>
      <c r="E39" s="50">
        <f>IF(D39="","",IF(D39&gt;=4.5,"Optimized",IF(D39&gt;=3.5,"Managed",IF(D39&gt;=2.5,"Defined",IF(D39&gt;=1.5,"Repeatable","Initial")))))</f>
        <v/>
      </c>
      <c r="F39" s="50">
        <f>IF(D39="","",IF(D39&gt;=3,"✓ Pass","✗ Below Target"))</f>
        <v/>
      </c>
    </row>
    <row r="40">
      <c r="A40" s="48" t="inlineStr">
        <is>
          <t>Enrichment</t>
        </is>
      </c>
      <c r="B40" s="48" t="inlineStr">
        <is>
          <t>Process &amp; Governance</t>
        </is>
      </c>
      <c r="C40" s="69" t="inlineStr">
        <is>
          <t>Metrics and KPI Tracking</t>
        </is>
      </c>
      <c r="D40" s="49">
        <f>IF(COUNT(Assessment!F69,Assessment!F70)=0,"",AVERAGE(Assessment!F69,Assessment!F70))</f>
        <v/>
      </c>
      <c r="E40" s="50">
        <f>IF(D40="","",IF(D40&gt;=4.5,"Optimized",IF(D40&gt;=3.5,"Managed",IF(D40&gt;=2.5,"Defined",IF(D40&gt;=1.5,"Repeatable","Initial")))))</f>
        <v/>
      </c>
      <c r="F40" s="50">
        <f>IF(D40="","",IF(D40&gt;=3,"✓ Pass","✗ Below Target"))</f>
        <v/>
      </c>
    </row>
    <row r="41">
      <c r="A41" s="48" t="inlineStr">
        <is>
          <t>Enrichment</t>
        </is>
      </c>
      <c r="B41" s="48" t="inlineStr">
        <is>
          <t>Process &amp; Governance</t>
        </is>
      </c>
      <c r="C41" s="69" t="inlineStr">
        <is>
          <t>Cross-Team Collaboration</t>
        </is>
      </c>
      <c r="D41" s="49">
        <f>IF(COUNT(Assessment!F71)=0,"",AVERAGE(Assessment!F71))</f>
        <v/>
      </c>
      <c r="E41" s="50">
        <f>IF(D41="","",IF(D41&gt;=4.5,"Optimized",IF(D41&gt;=3.5,"Managed",IF(D41&gt;=2.5,"Defined",IF(D41&gt;=1.5,"Repeatable","Initial")))))</f>
        <v/>
      </c>
      <c r="F41" s="50">
        <f>IF(D41="","",IF(D41&gt;=3,"✓ Pass","✗ Below Target"))</f>
        <v/>
      </c>
    </row>
  </sheetData>
  <conditionalFormatting sqref="F11:F15">
    <cfRule type="cellIs" priority="1" operator="equal" dxfId="3">
      <formula>"Complete"</formula>
    </cfRule>
    <cfRule type="cellIs" priority="2" operator="equal" dxfId="2">
      <formula>"Current"</formula>
    </cfRule>
    <cfRule type="cellIs" priority="3" operator="equal" dxfId="1">
      <formula>"In Progress"</formula>
    </cfRule>
  </conditionalFormatting>
  <conditionalFormatting sqref="C11:C15">
    <cfRule type="cellIs" priority="4" operator="between" dxfId="0">
      <formula>1</formula>
      <formula>1.49</formula>
    </cfRule>
    <cfRule type="cellIs" priority="5" operator="between" dxfId="1">
      <formula>1.5</formula>
      <formula>2.49</formula>
    </cfRule>
    <cfRule type="cellIs" priority="6" operator="between" dxfId="2">
      <formula>2.5</formula>
      <formula>3.49</formula>
    </cfRule>
    <cfRule type="cellIs" priority="7" operator="between" dxfId="3">
      <formula>3.5</formula>
      <formula>5</formula>
    </cfRule>
  </conditionalFormatting>
  <conditionalFormatting sqref="D18:D41">
    <cfRule type="cellIs" priority="8" operator="between" dxfId="0">
      <formula>1</formula>
      <formula>1.49</formula>
    </cfRule>
    <cfRule type="cellIs" priority="9" operator="between" dxfId="1">
      <formula>1.5</formula>
      <formula>2.49</formula>
    </cfRule>
    <cfRule type="cellIs" priority="10" operator="between" dxfId="2">
      <formula>2.5</formula>
      <formula>3.49</formula>
    </cfRule>
    <cfRule type="cellIs" priority="11" operator="between" dxfId="3">
      <formula>3.5</formula>
      <formula>5</formula>
    </cfRule>
  </conditionalFormatting>
  <conditionalFormatting sqref="F18:F41">
    <cfRule type="cellIs" priority="12" operator="equal" dxfId="3">
      <formula>"✓ Pass"</formula>
    </cfRule>
    <cfRule type="cellIs" priority="13" operator="equal" dxfId="0">
      <formula>"✗ Below Target"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2026-02-27T14:44:30Z</dcterms:created>
  <dcterms:modified xmlns:dcterms="http://purl.org/dc/terms/" xmlns:xsi="http://www.w3.org/2001/XMLSchema-instance" xsi:type="dcterms:W3CDTF">2026-02-27T14:44:30Z</dcterms:modified>
</cp:coreProperties>
</file>