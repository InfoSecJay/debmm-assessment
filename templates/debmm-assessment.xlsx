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FFFFFF"/>
      <sz val="18"/>
    </font>
    <font>
      <name val="Calibri"/>
      <b val="1"/>
      <color rgb="001B2A4A"/>
      <sz val="14"/>
    </font>
    <font>
      <name val="Calibri"/>
      <color rgb="00404040"/>
      <sz val="11"/>
    </font>
    <font>
      <name val="Calibri"/>
      <b val="1"/>
      <color rgb="00404040"/>
      <sz val="11"/>
    </font>
    <font>
      <name val="Calibri"/>
      <b val="1"/>
      <color rgb="00FFFFFF"/>
      <sz val="11"/>
    </font>
    <font>
      <name val="Calibri"/>
      <color rgb="00404040"/>
      <sz val="10"/>
    </font>
    <font>
      <name val="Calibri"/>
      <b val="1"/>
      <color rgb="001B2A4A"/>
      <sz val="24"/>
    </font>
  </fonts>
  <fills count="8">
    <fill>
      <patternFill/>
    </fill>
    <fill>
      <patternFill patternType="gray125"/>
    </fill>
    <fill>
      <patternFill patternType="solid">
        <fgColor rgb="001B2A4A"/>
      </patternFill>
    </fill>
    <fill>
      <patternFill patternType="solid">
        <fgColor rgb="00E9EFF7"/>
      </patternFill>
    </fill>
    <fill>
      <patternFill patternType="solid">
        <fgColor rgb="002C3E6B"/>
      </patternFill>
    </fill>
    <fill>
      <patternFill patternType="solid">
        <fgColor rgb="00D6E4F0"/>
      </patternFill>
    </fill>
    <fill>
      <patternFill patternType="solid">
        <fgColor rgb="00F2F2F2"/>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wrapText="1"/>
    </xf>
    <xf numFmtId="0" fontId="3" fillId="0" borderId="0" applyAlignment="1" pivotButton="0" quotePrefix="0" xfId="0">
      <alignment horizontal="left" vertical="top" wrapText="1"/>
    </xf>
    <xf numFmtId="0" fontId="4" fillId="0" borderId="0" applyAlignment="1" pivotButton="0" quotePrefix="0" xfId="0">
      <alignment horizontal="left" vertical="center" wrapText="1"/>
    </xf>
    <xf numFmtId="0" fontId="3" fillId="3" borderId="1" applyAlignment="1" pivotButton="0" quotePrefix="0" xfId="0">
      <alignment horizontal="left" vertical="center" wrapText="1"/>
    </xf>
    <xf numFmtId="0" fontId="5" fillId="4" borderId="1" applyAlignment="1" pivotButton="0" quotePrefix="0" xfId="0">
      <alignment horizontal="center" vertical="center" wrapText="1"/>
    </xf>
    <xf numFmtId="0" fontId="2" fillId="5" borderId="0" applyAlignment="1" pivotButton="0" quotePrefix="0" xfId="0">
      <alignment horizontal="left" vertical="center"/>
    </xf>
    <xf numFmtId="0" fontId="0" fillId="5" borderId="0" pivotButton="0" quotePrefix="0" xfId="0"/>
    <xf numFmtId="0" fontId="6" fillId="6" borderId="1" applyAlignment="1" pivotButton="0" quotePrefix="0" xfId="0">
      <alignment horizontal="center" vertical="center" wrapText="1"/>
    </xf>
    <xf numFmtId="0" fontId="6" fillId="6"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center" vertical="center" wrapText="1"/>
    </xf>
    <xf numFmtId="164" fontId="4"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7" borderId="1" applyAlignment="1" pivotButton="0" quotePrefix="0" xfId="0">
      <alignment horizontal="left" vertical="top" wrapText="1"/>
    </xf>
    <xf numFmtId="0" fontId="3" fillId="7" borderId="1" applyAlignment="1" pivotButton="0" quotePrefix="0" xfId="0">
      <alignment horizontal="left" vertical="top" wrapText="1"/>
    </xf>
    <xf numFmtId="164" fontId="4" fillId="7" borderId="1" applyAlignment="1" pivotButton="0" quotePrefix="0" xfId="0">
      <alignment horizontal="center" vertical="center" wrapText="1"/>
    </xf>
    <xf numFmtId="0" fontId="3" fillId="0" borderId="0" applyAlignment="1" pivotButton="0" quotePrefix="0" xfId="0">
      <alignment horizontal="left" vertical="center" wrapText="1"/>
    </xf>
    <xf numFmtId="0" fontId="4" fillId="5" borderId="0" applyAlignment="1" pivotButton="0" quotePrefix="0" xfId="0">
      <alignment horizontal="center" vertical="center" wrapText="1"/>
    </xf>
    <xf numFmtId="2" fontId="7" fillId="7" borderId="1" applyAlignment="1" pivotButton="0" quotePrefix="0" xfId="0">
      <alignment horizontal="center" vertical="center" wrapText="1"/>
    </xf>
    <xf numFmtId="0" fontId="0" fillId="0" borderId="1" pivotButton="0" quotePrefix="0" xfId="0"/>
    <xf numFmtId="0" fontId="2" fillId="7" borderId="1" applyAlignment="1" pivotButton="0" quotePrefix="0" xfId="0">
      <alignment horizontal="center" vertical="center" wrapText="1"/>
    </xf>
    <xf numFmtId="0" fontId="2" fillId="5" borderId="1" applyAlignment="1" pivotButton="0" quotePrefix="0" xfId="0">
      <alignment horizontal="left" vertical="center" wrapText="1"/>
    </xf>
    <xf numFmtId="2" fontId="4" fillId="5"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left" vertical="center" wrapText="1"/>
    </xf>
    <xf numFmtId="2" fontId="4" fillId="7" borderId="1" applyAlignment="1" pivotButton="0" quotePrefix="0" xfId="0">
      <alignment horizontal="center" vertical="center" wrapText="1"/>
    </xf>
    <xf numFmtId="0" fontId="3" fillId="7" borderId="1" applyAlignment="1" pivotButton="0" quotePrefix="0" xfId="0">
      <alignment horizontal="center" vertical="center" wrapText="1"/>
    </xf>
    <xf numFmtId="0" fontId="5" fillId="4" borderId="0" applyAlignment="1" pivotButton="0" quotePrefix="0" xfId="0">
      <alignment horizontal="center" vertical="center" wrapText="1"/>
    </xf>
    <xf numFmtId="2" fontId="3" fillId="0" borderId="0" applyAlignment="1" pivotButton="0" quotePrefix="0" xfId="0">
      <alignment horizontal="center" vertical="center" wrapText="1"/>
    </xf>
    <xf numFmtId="0" fontId="2" fillId="5" borderId="0" applyAlignment="1" pivotButton="0" quotePrefix="0" xfId="0">
      <alignment horizontal="left" vertical="center" wrapText="1"/>
    </xf>
    <xf numFmtId="0" fontId="6" fillId="0" borderId="0" applyAlignment="1" pivotButton="0" quotePrefix="0" xfId="0">
      <alignment horizontal="left" vertical="top" wrapText="1"/>
    </xf>
    <xf numFmtId="0" fontId="4" fillId="3" borderId="0" applyAlignment="1" pivotButton="0" quotePrefix="0" xfId="0">
      <alignment horizontal="left" vertical="center" wrapText="1"/>
    </xf>
    <xf numFmtId="0" fontId="0" fillId="3" borderId="0" pivotButton="0" quotePrefix="0" xfId="0"/>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cellXfs>
  <cellStyles count="1">
    <cellStyle name="Normal" xfId="0" builtinId="0" hidden="0"/>
  </cellStyles>
  <dxfs count="4">
    <dxf>
      <fill>
        <patternFill patternType="solid">
          <fgColor rgb="00F4CCCC"/>
        </patternFill>
      </fill>
    </dxf>
    <dxf>
      <fill>
        <patternFill patternType="solid">
          <fgColor rgb="00FCE4D6"/>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Tier Scores</a:t>
            </a:r>
          </a:p>
        </rich>
      </tx>
    </title>
    <plotArea>
      <barChart>
        <barDir val="col"/>
        <grouping val="clustered"/>
        <ser>
          <idx val="0"/>
          <order val="0"/>
          <tx>
            <strRef>
              <f>'Results Dashboard'!H45</f>
            </strRef>
          </tx>
          <spPr>
            <a:ln>
              <a:prstDash val="solid"/>
            </a:ln>
          </spPr>
          <cat>
            <numRef>
              <f>'Results Dashboard'!$G$46:$G$52</f>
            </numRef>
          </cat>
          <val>
            <numRef>
              <f>'Results Dashboard'!$H$46:$H$52</f>
            </numRef>
          </val>
        </ser>
        <gapWidth val="15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max val="5"/>
          <min val="0"/>
        </scaling>
        <axPos val="l"/>
        <majorGridlines/>
        <title>
          <tx>
            <rich>
              <a:bodyPr/>
              <a:p>
                <a:pPr>
                  <a:defRPr/>
                </a:pPr>
                <a:r>
                  <a:t>Maturity Score (1-5)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C46"/>
  <sheetViews>
    <sheetView workbookViewId="0">
      <selection activeCell="A1" sqref="A1"/>
    </sheetView>
  </sheetViews>
  <sheetFormatPr baseColWidth="8" defaultRowHeight="15"/>
  <cols>
    <col width="3" customWidth="1" min="1" max="1"/>
    <col width="85" customWidth="1" min="2" max="2"/>
    <col width="3" customWidth="1" min="3" max="3"/>
  </cols>
  <sheetData>
    <row r="1" ht="50" customHeight="1">
      <c r="A1" s="1" t="inlineStr">
        <is>
          <t xml:space="preserve">  DEBMM Assessment Tool</t>
        </is>
      </c>
      <c r="B1" s="2" t="n"/>
      <c r="C1" s="2" t="n"/>
    </row>
    <row r="3">
      <c r="B3" s="3" t="inlineStr">
        <is>
          <t>About This Assessment</t>
        </is>
      </c>
    </row>
    <row r="4">
      <c r="B4" s="4" t="inlineStr">
        <is>
          <t>This spreadsheet assesses your detection engineering team's maturity using Elastic's Detection Engineering Behavior Maturity Model (DEBMM), enriched with organizational dimensions from detectionengineering.io.</t>
        </is>
      </c>
    </row>
    <row r="5">
      <c r="B5" s="4" t="inlineStr"/>
    </row>
    <row r="6">
      <c r="B6" s="4" t="inlineStr">
        <is>
          <t>It covers 21 criteria across 7 categories, with 41 dropdown questions total.</t>
        </is>
      </c>
    </row>
    <row r="7">
      <c r="B7" s="4" t="inlineStr">
        <is>
          <t>All questions are answered via dropdowns (Yes/No or Scale 1-5). No free-text required.</t>
        </is>
      </c>
    </row>
    <row r="9">
      <c r="B9" s="3" t="inlineStr">
        <is>
          <t>How to Use</t>
        </is>
      </c>
    </row>
    <row r="10">
      <c r="B10" s="4" t="inlineStr">
        <is>
          <t>1. Fill in your organization details at the top of the Assessment tab</t>
        </is>
      </c>
    </row>
    <row r="11">
      <c r="B11" s="4" t="inlineStr">
        <is>
          <t>2. Answer each question using the dropdown menus</t>
        </is>
      </c>
    </row>
    <row r="12">
      <c r="B12" s="4" t="inlineStr">
        <is>
          <t>3. For Yes/No questions: select from the dropdown</t>
        </is>
      </c>
    </row>
    <row r="13">
      <c r="B13" s="4" t="inlineStr">
        <is>
          <t>4. For Scale questions (1-5): select from the dropdown</t>
        </is>
      </c>
    </row>
    <row r="14">
      <c r="B14" s="4" t="inlineStr">
        <is>
          <t>5. Switch to the Results Dashboard tab to see your scores automatically calculated</t>
        </is>
      </c>
    </row>
    <row r="16">
      <c r="B16" s="3" t="inlineStr">
        <is>
          <t>Maturity Levels</t>
        </is>
      </c>
    </row>
    <row r="17">
      <c r="B17" s="4" t="inlineStr">
        <is>
          <t>Each criterion is scored on a 1-5 scale:</t>
        </is>
      </c>
    </row>
    <row r="18">
      <c r="B18" s="4" t="inlineStr"/>
    </row>
    <row r="19">
      <c r="B19" s="4" t="inlineStr">
        <is>
          <t xml:space="preserve">  1 - Initial:      Minimal or no structured activity</t>
        </is>
      </c>
    </row>
    <row r="20">
      <c r="B20" s="4" t="inlineStr">
        <is>
          <t xml:space="preserve">  2 - Repeatable:  Sporadic, inconsistent efforts</t>
        </is>
      </c>
    </row>
    <row r="21">
      <c r="B21" s="4" t="inlineStr">
        <is>
          <t xml:space="preserve">  3 - Defined:       Regular, documented processes followed consistently</t>
        </is>
      </c>
    </row>
    <row r="22">
      <c r="B22" s="4" t="inlineStr">
        <is>
          <t xml:space="preserve">  4 - Managed:     Comprehensive, well-integrated with measurable outcomes</t>
        </is>
      </c>
    </row>
    <row r="23">
      <c r="B23" s="4" t="inlineStr">
        <is>
          <t xml:space="preserve">  5 - Optimized:   Fully automated, continuously improving</t>
        </is>
      </c>
    </row>
    <row r="25">
      <c r="B25" s="3" t="inlineStr">
        <is>
          <t>DEBMM Tiers</t>
        </is>
      </c>
    </row>
    <row r="26">
      <c r="B26" s="4" t="inlineStr">
        <is>
          <t>Tier 0 - Foundation:     Basic groundwork (rule development, maintenance, roadmaps, threat modeling)</t>
        </is>
      </c>
    </row>
    <row r="27">
      <c r="B27" s="4" t="inlineStr">
        <is>
          <t>Tier 1 - Basic:              Baseline rules, version control, telemetry, testing</t>
        </is>
      </c>
    </row>
    <row r="28">
      <c r="B28" s="4" t="inlineStr">
        <is>
          <t>Tier 2 - Intermediate:  FP reduction, gap analysis, internal validation</t>
        </is>
      </c>
    </row>
    <row r="29">
      <c r="B29" s="4" t="inlineStr">
        <is>
          <t>Tier 3 - Advanced:       FN triage, external validation, advanced TTP coverage</t>
        </is>
      </c>
    </row>
    <row r="30">
      <c r="B30" s="4" t="inlineStr">
        <is>
          <t>Tier 4 - Expert:            Threat hunting, automation, AI/LLM integration</t>
        </is>
      </c>
    </row>
    <row r="31">
      <c r="B31" s="4" t="inlineStr"/>
    </row>
    <row r="32">
      <c r="B32" s="4" t="inlineStr">
        <is>
          <t>Enrichment - People &amp; Organization:  Team structure, training, leadership</t>
        </is>
      </c>
    </row>
    <row r="33">
      <c r="B33" s="4" t="inlineStr">
        <is>
          <t>Enrichment - Process &amp; Governance:   Lifecycle, metrics, collaboration</t>
        </is>
      </c>
    </row>
    <row r="35">
      <c r="B35" s="3" t="inlineStr">
        <is>
          <t>Tier Determination</t>
        </is>
      </c>
    </row>
    <row r="36">
      <c r="B36" s="4" t="inlineStr">
        <is>
          <t>Your achieved tier is the highest tier where ALL criteria in that tier (and all lower tiers) score &gt;= 3.0 (Defined level). This enforces the progressive nature of the model - you need solid foundations before claiming advanced maturity.</t>
        </is>
      </c>
    </row>
    <row r="38">
      <c r="B38" s="3" t="inlineStr">
        <is>
          <t>Three Scoring Paths</t>
        </is>
      </c>
    </row>
    <row r="39">
      <c r="B39" s="4" t="inlineStr">
        <is>
          <t>1. This Spreadsheet: Fill it out and scores calculate automatically in the Dashboard tab</t>
        </is>
      </c>
    </row>
    <row r="40">
      <c r="B40" s="4" t="inlineStr">
        <is>
          <t>2. Python CLI: Export answers to YAML and run scorer/score.py for a detailed report</t>
        </is>
      </c>
    </row>
    <row r="41">
      <c r="B41" s="4" t="inlineStr">
        <is>
          <t>3. LLM-Assisted: Run scorer/llm_scorer.py to have AI score your text answers and generate improvement recommendations</t>
        </is>
      </c>
    </row>
    <row r="43">
      <c r="B43" s="3" t="inlineStr">
        <is>
          <t>References</t>
        </is>
      </c>
    </row>
    <row r="44">
      <c r="B44" s="4" t="inlineStr">
        <is>
          <t>Elastic DEBMM: https://www.elastic.co/security-labs/elastic-releases-debmm</t>
        </is>
      </c>
    </row>
    <row r="45">
      <c r="B45" s="4" t="inlineStr">
        <is>
          <t>Detection Engineering Maturity Matrix: https://detectionengineering.io/</t>
        </is>
      </c>
    </row>
    <row r="46">
      <c r="B46" s="4" t="inlineStr">
        <is>
          <t>MITRE ATT&amp;CK: https://attack.mitre.org/</t>
        </is>
      </c>
    </row>
  </sheetData>
  <mergeCells count="1">
    <mergeCell ref="A1:C1"/>
  </mergeCells>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G57"/>
  <sheetViews>
    <sheetView workbookViewId="0">
      <pane ySplit="9" topLeftCell="A10" activePane="bottomLeft" state="frozen"/>
      <selection pane="bottomLeft" activeCell="A1" sqref="A1"/>
    </sheetView>
  </sheetViews>
  <sheetFormatPr baseColWidth="8" defaultRowHeight="15"/>
  <cols>
    <col width="10" customWidth="1" min="1" max="1"/>
    <col width="12" customWidth="1" min="2" max="2"/>
    <col width="30" customWidth="1" min="3" max="3"/>
    <col width="10" customWidth="1" min="4" max="4"/>
    <col width="65" customWidth="1" min="5" max="5"/>
    <col width="18" customWidth="1" min="6" max="6"/>
    <col width="12" customWidth="1" min="7" max="7"/>
  </cols>
  <sheetData>
    <row r="1" ht="40" customHeight="1">
      <c r="A1" s="1" t="inlineStr">
        <is>
          <t xml:space="preserve">  DEBMM Assessment</t>
        </is>
      </c>
      <c r="B1" s="2" t="n"/>
      <c r="C1" s="2" t="n"/>
      <c r="D1" s="2" t="n"/>
      <c r="E1" s="2" t="n"/>
      <c r="F1" s="2" t="n"/>
      <c r="G1" s="2" t="n"/>
    </row>
    <row r="3">
      <c r="B3" s="5" t="inlineStr">
        <is>
          <t>Organization:</t>
        </is>
      </c>
      <c r="C3" s="6" t="n"/>
    </row>
    <row r="4">
      <c r="B4" s="5" t="inlineStr">
        <is>
          <t>Assessor Name:</t>
        </is>
      </c>
      <c r="C4" s="6" t="n"/>
    </row>
    <row r="5">
      <c r="B5" s="5" t="inlineStr">
        <is>
          <t>Assessor Role:</t>
        </is>
      </c>
      <c r="C5" s="6" t="n"/>
    </row>
    <row r="6">
      <c r="B6" s="5" t="inlineStr">
        <is>
          <t>Date:</t>
        </is>
      </c>
      <c r="C6" s="6" t="n"/>
    </row>
    <row r="7">
      <c r="B7" s="5" t="inlineStr">
        <is>
          <t>Assessment Type:</t>
        </is>
      </c>
      <c r="C7" s="6" t="inlineStr">
        <is>
          <t>Self-Assessment</t>
        </is>
      </c>
    </row>
    <row r="9" ht="30" customHeight="1">
      <c r="A9" s="7" t="inlineStr">
        <is>
          <t>ID</t>
        </is>
      </c>
      <c r="B9" s="7" t="inlineStr">
        <is>
          <t>Tier</t>
        </is>
      </c>
      <c r="C9" s="7" t="inlineStr">
        <is>
          <t>Criterion</t>
        </is>
      </c>
      <c r="D9" s="7" t="inlineStr">
        <is>
          <t>Type</t>
        </is>
      </c>
      <c r="E9" s="7" t="inlineStr">
        <is>
          <t>Question</t>
        </is>
      </c>
      <c r="F9" s="7" t="inlineStr">
        <is>
          <t>Your Answer</t>
        </is>
      </c>
      <c r="G9" s="7" t="inlineStr">
        <is>
          <t>Score</t>
        </is>
      </c>
    </row>
    <row r="10" ht="30" customHeight="1">
      <c r="A10" s="8" t="inlineStr">
        <is>
          <t xml:space="preserve">  Foundation</t>
        </is>
      </c>
      <c r="B10" s="9" t="n"/>
      <c r="C10" s="9" t="n"/>
      <c r="D10" s="9" t="n"/>
      <c r="E10" s="9" t="n"/>
      <c r="F10" s="9" t="n"/>
      <c r="G10" s="9" t="n"/>
    </row>
    <row r="11" ht="100" customHeight="1">
      <c r="A11" s="10" t="inlineStr">
        <is>
          <t>T0-Q1</t>
        </is>
      </c>
      <c r="B11" s="10" t="inlineStr">
        <is>
          <t>Foundation</t>
        </is>
      </c>
      <c r="C11" s="11" t="inlineStr">
        <is>
          <t>Structured Rule Development Approach</t>
        </is>
      </c>
      <c r="D11" s="10" t="inlineStr">
        <is>
          <t>Scale 1-5</t>
        </is>
      </c>
      <c r="E11" s="12"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F11" s="13" t="n"/>
      <c r="G11" s="14">
        <f>IF(F11="","",F11)</f>
        <v/>
      </c>
    </row>
    <row r="12" ht="30" customHeight="1">
      <c r="A12" s="15" t="inlineStr">
        <is>
          <t>T0-Q2</t>
        </is>
      </c>
      <c r="B12" s="15" t="inlineStr">
        <is>
          <t>Foundation</t>
        </is>
      </c>
      <c r="C12" s="16" t="inlineStr">
        <is>
          <t>Structured Rule Development Approach</t>
        </is>
      </c>
      <c r="D12" s="15" t="inlineStr">
        <is>
          <t>Yes/No</t>
        </is>
      </c>
      <c r="E12" s="17" t="inlineStr">
        <is>
          <t>Do all new detection rules go through peer review before deployment to production?</t>
        </is>
      </c>
      <c r="F12" s="13" t="n"/>
      <c r="G12" s="18">
        <f>IF(F12="Yes",4,IF(F12="No",1,""))</f>
        <v/>
      </c>
    </row>
    <row r="13" ht="100" customHeight="1">
      <c r="A13" s="10" t="inlineStr">
        <is>
          <t>T0-Q3</t>
        </is>
      </c>
      <c r="B13" s="10" t="inlineStr">
        <is>
          <t>Foundation</t>
        </is>
      </c>
      <c r="C13" s="11" t="inlineStr">
        <is>
          <t>Rule Creation and Maintenance</t>
        </is>
      </c>
      <c r="D13" s="10" t="inlineStr">
        <is>
          <t>Scale 1-5</t>
        </is>
      </c>
      <c r="E13" s="12"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F13" s="13" t="n"/>
      <c r="G13" s="14">
        <f>IF(F13="","",F13)</f>
        <v/>
      </c>
    </row>
    <row r="14" ht="100" customHeight="1">
      <c r="A14" s="15" t="inlineStr">
        <is>
          <t>T0-Q4</t>
        </is>
      </c>
      <c r="B14" s="15" t="inlineStr">
        <is>
          <t>Foundation</t>
        </is>
      </c>
      <c r="C14" s="16" t="inlineStr">
        <is>
          <t>Roadmap Documentation</t>
        </is>
      </c>
      <c r="D14" s="15" t="inlineStr">
        <is>
          <t>Scale 1-5</t>
        </is>
      </c>
      <c r="E14" s="17"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F14" s="13" t="n"/>
      <c r="G14" s="18">
        <f>IF(F14="","",F14)</f>
        <v/>
      </c>
    </row>
    <row r="15" ht="100" customHeight="1">
      <c r="A15" s="10" t="inlineStr">
        <is>
          <t>T0-Q5</t>
        </is>
      </c>
      <c r="B15" s="10" t="inlineStr">
        <is>
          <t>Foundation</t>
        </is>
      </c>
      <c r="C15" s="11" t="inlineStr">
        <is>
          <t>Threat Modeling</t>
        </is>
      </c>
      <c r="D15" s="10" t="inlineStr">
        <is>
          <t>Scale 1-5</t>
        </is>
      </c>
      <c r="E15" s="12"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F15" s="13" t="n"/>
      <c r="G15" s="14">
        <f>IF(F15="","",F15)</f>
        <v/>
      </c>
    </row>
    <row r="16" ht="30" customHeight="1">
      <c r="A16" s="15" t="inlineStr">
        <is>
          <t>T0-Q6</t>
        </is>
      </c>
      <c r="B16" s="15" t="inlineStr">
        <is>
          <t>Foundation</t>
        </is>
      </c>
      <c r="C16" s="16" t="inlineStr">
        <is>
          <t>Threat Modeling</t>
        </is>
      </c>
      <c r="D16" s="15" t="inlineStr">
        <is>
          <t>Yes/No</t>
        </is>
      </c>
      <c r="E16" s="17" t="inlineStr">
        <is>
          <t>Does your threat modeling use a recognized framework (e.g., STRIDE, MITRE ATT&amp;CK, PASTA, attack trees)?</t>
        </is>
      </c>
      <c r="F16" s="13" t="n"/>
      <c r="G16" s="18">
        <f>IF(F16="Yes",3,IF(F16="No",1,""))</f>
        <v/>
      </c>
    </row>
    <row r="17" ht="30" customHeight="1">
      <c r="A17" s="10" t="inlineStr">
        <is>
          <t>T0-Q7</t>
        </is>
      </c>
      <c r="B17" s="10" t="inlineStr">
        <is>
          <t>Foundation</t>
        </is>
      </c>
      <c r="C17" s="11" t="inlineStr">
        <is>
          <t>Threat Modeling</t>
        </is>
      </c>
      <c r="D17" s="10" t="inlineStr">
        <is>
          <t>Yes/No</t>
        </is>
      </c>
      <c r="E17" s="12" t="inlineStr">
        <is>
          <t>Do threat modeling outputs directly generate items on your detection engineering backlog or roadmap?</t>
        </is>
      </c>
      <c r="F17" s="13" t="n"/>
      <c r="G17" s="14">
        <f>IF(F17="Yes",4,IF(F17="No",1,""))</f>
        <v/>
      </c>
    </row>
    <row r="18" ht="30" customHeight="1">
      <c r="A18" s="8" t="inlineStr">
        <is>
          <t xml:space="preserve">  Basic</t>
        </is>
      </c>
      <c r="B18" s="9" t="n"/>
      <c r="C18" s="9" t="n"/>
      <c r="D18" s="9" t="n"/>
      <c r="E18" s="9" t="n"/>
      <c r="F18" s="9" t="n"/>
      <c r="G18" s="9" t="n"/>
    </row>
    <row r="19" ht="100" customHeight="1">
      <c r="A19" s="10" t="inlineStr">
        <is>
          <t>T1-Q1</t>
        </is>
      </c>
      <c r="B19" s="10" t="inlineStr">
        <is>
          <t>Basic</t>
        </is>
      </c>
      <c r="C19" s="11" t="inlineStr">
        <is>
          <t>Baseline Rule Creation</t>
        </is>
      </c>
      <c r="D19" s="10" t="inlineStr">
        <is>
          <t>Scale 1-5</t>
        </is>
      </c>
      <c r="E19" s="12"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F19" s="13" t="n"/>
      <c r="G19" s="14">
        <f>IF(F19="","",F19)</f>
        <v/>
      </c>
    </row>
    <row r="20" ht="100" customHeight="1">
      <c r="A20" s="15" t="inlineStr">
        <is>
          <t>T1-Q2</t>
        </is>
      </c>
      <c r="B20" s="15" t="inlineStr">
        <is>
          <t>Basic</t>
        </is>
      </c>
      <c r="C20" s="16" t="inlineStr">
        <is>
          <t>Baseline Rule Creation</t>
        </is>
      </c>
      <c r="D20" s="15" t="inlineStr">
        <is>
          <t>Scale 1-5</t>
        </is>
      </c>
      <c r="E20" s="17"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F20" s="13" t="n"/>
      <c r="G20" s="18">
        <f>IF(F20="","",F20)</f>
        <v/>
      </c>
    </row>
    <row r="21" ht="100" customHeight="1">
      <c r="A21" s="10" t="inlineStr">
        <is>
          <t>T1-Q3</t>
        </is>
      </c>
      <c r="B21" s="10" t="inlineStr">
        <is>
          <t>Basic</t>
        </is>
      </c>
      <c r="C21" s="11" t="inlineStr">
        <is>
          <t>Ruleset Management and Maintenance</t>
        </is>
      </c>
      <c r="D21" s="10" t="inlineStr">
        <is>
          <t>Scale 1-5</t>
        </is>
      </c>
      <c r="E21" s="12"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F21" s="13" t="n"/>
      <c r="G21" s="14">
        <f>IF(F21="","",F21)</f>
        <v/>
      </c>
    </row>
    <row r="22" ht="100" customHeight="1">
      <c r="A22" s="15" t="inlineStr">
        <is>
          <t>T1-Q4</t>
        </is>
      </c>
      <c r="B22" s="15" t="inlineStr">
        <is>
          <t>Basic</t>
        </is>
      </c>
      <c r="C22" s="16" t="inlineStr">
        <is>
          <t>Telemetry Quality</t>
        </is>
      </c>
      <c r="D22" s="15" t="inlineStr">
        <is>
          <t>Scale 1-5</t>
        </is>
      </c>
      <c r="E22" s="17"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F22" s="13" t="n"/>
      <c r="G22" s="18">
        <f>IF(F22="","",F22)</f>
        <v/>
      </c>
    </row>
    <row r="23" ht="30" customHeight="1">
      <c r="A23" s="10" t="inlineStr">
        <is>
          <t>T1-Q5</t>
        </is>
      </c>
      <c r="B23" s="10" t="inlineStr">
        <is>
          <t>Basic</t>
        </is>
      </c>
      <c r="C23" s="11" t="inlineStr">
        <is>
          <t>Telemetry Quality</t>
        </is>
      </c>
      <c r="D23" s="10" t="inlineStr">
        <is>
          <t>Yes/No</t>
        </is>
      </c>
      <c r="E23" s="12" t="inlineStr">
        <is>
          <t>Do you maintain a documented inventory of telemetry data sources mapped to detection use cases?</t>
        </is>
      </c>
      <c r="F23" s="13" t="n"/>
      <c r="G23" s="14">
        <f>IF(F23="Yes",3,IF(F23="No",1,""))</f>
        <v/>
      </c>
    </row>
    <row r="24" ht="30" customHeight="1">
      <c r="A24" s="15" t="inlineStr">
        <is>
          <t>T1-Q6</t>
        </is>
      </c>
      <c r="B24" s="15" t="inlineStr">
        <is>
          <t>Basic</t>
        </is>
      </c>
      <c r="C24" s="16" t="inlineStr">
        <is>
          <t>Telemetry Quality</t>
        </is>
      </c>
      <c r="D24" s="15" t="inlineStr">
        <is>
          <t>Yes/No</t>
        </is>
      </c>
      <c r="E24" s="17" t="inlineStr">
        <is>
          <t>Do you have automated alerting for when critical data sources stop ingesting or degrade in quality?</t>
        </is>
      </c>
      <c r="F24" s="13" t="n"/>
      <c r="G24" s="18">
        <f>IF(F24="Yes",4,IF(F24="No",1,""))</f>
        <v/>
      </c>
    </row>
    <row r="25" ht="100" customHeight="1">
      <c r="A25" s="10" t="inlineStr">
        <is>
          <t>T1-Q7</t>
        </is>
      </c>
      <c r="B25" s="10" t="inlineStr">
        <is>
          <t>Basic</t>
        </is>
      </c>
      <c r="C25" s="11" t="inlineStr">
        <is>
          <t>Threat Landscape Review</t>
        </is>
      </c>
      <c r="D25" s="10" t="inlineStr">
        <is>
          <t>Scale 1-5</t>
        </is>
      </c>
      <c r="E25" s="12"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F25" s="13" t="n"/>
      <c r="G25" s="14">
        <f>IF(F25="","",F25)</f>
        <v/>
      </c>
    </row>
    <row r="26" ht="100" customHeight="1">
      <c r="A26" s="15" t="inlineStr">
        <is>
          <t>T1-Q8</t>
        </is>
      </c>
      <c r="B26" s="15" t="inlineStr">
        <is>
          <t>Basic</t>
        </is>
      </c>
      <c r="C26" s="16" t="inlineStr">
        <is>
          <t>Product Owner Engagement</t>
        </is>
      </c>
      <c r="D26" s="15" t="inlineStr">
        <is>
          <t>Scale 1-5</t>
        </is>
      </c>
      <c r="E26" s="17"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F26" s="13" t="n"/>
      <c r="G26" s="18">
        <f>IF(F26="","",F26)</f>
        <v/>
      </c>
    </row>
    <row r="27" ht="100" customHeight="1">
      <c r="A27" s="10" t="inlineStr">
        <is>
          <t>T1-Q9</t>
        </is>
      </c>
      <c r="B27" s="10" t="inlineStr">
        <is>
          <t>Basic</t>
        </is>
      </c>
      <c r="C27" s="11" t="inlineStr">
        <is>
          <t>Release Testing and Validation</t>
        </is>
      </c>
      <c r="D27" s="10" t="inlineStr">
        <is>
          <t>Scale 1-5</t>
        </is>
      </c>
      <c r="E27" s="12"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F27" s="13" t="n"/>
      <c r="G27" s="14">
        <f>IF(F27="","",F27)</f>
        <v/>
      </c>
    </row>
    <row r="28" ht="30" customHeight="1">
      <c r="A28" s="8" t="inlineStr">
        <is>
          <t xml:space="preserve">  Intermediate</t>
        </is>
      </c>
      <c r="B28" s="9" t="n"/>
      <c r="C28" s="9" t="n"/>
      <c r="D28" s="9" t="n"/>
      <c r="E28" s="9" t="n"/>
      <c r="F28" s="9" t="n"/>
      <c r="G28" s="9" t="n"/>
    </row>
    <row r="29" ht="100" customHeight="1">
      <c r="A29" s="10" t="inlineStr">
        <is>
          <t>T2-Q1</t>
        </is>
      </c>
      <c r="B29" s="10" t="inlineStr">
        <is>
          <t>Intermediate</t>
        </is>
      </c>
      <c r="C29" s="11" t="inlineStr">
        <is>
          <t>False Positive Tuning and Reduction</t>
        </is>
      </c>
      <c r="D29" s="10" t="inlineStr">
        <is>
          <t>Scale 1-5</t>
        </is>
      </c>
      <c r="E29" s="12"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F29" s="13" t="n"/>
      <c r="G29" s="14">
        <f>IF(F29="","",F29)</f>
        <v/>
      </c>
    </row>
    <row r="30" ht="100" customHeight="1">
      <c r="A30" s="15" t="inlineStr">
        <is>
          <t>T2-Q2</t>
        </is>
      </c>
      <c r="B30" s="15" t="inlineStr">
        <is>
          <t>Intermediate</t>
        </is>
      </c>
      <c r="C30" s="16" t="inlineStr">
        <is>
          <t>False Positive Tuning and Reduction</t>
        </is>
      </c>
      <c r="D30" s="15" t="inlineStr">
        <is>
          <t>Scale 1-5</t>
        </is>
      </c>
      <c r="E30" s="17"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F30" s="13" t="n"/>
      <c r="G30" s="18">
        <f>IF(F30="","",F30)</f>
        <v/>
      </c>
    </row>
    <row r="31" ht="100" customHeight="1">
      <c r="A31" s="10" t="inlineStr">
        <is>
          <t>T2-Q3</t>
        </is>
      </c>
      <c r="B31" s="10" t="inlineStr">
        <is>
          <t>Intermediate</t>
        </is>
      </c>
      <c r="C31" s="11" t="inlineStr">
        <is>
          <t>Gap Analysis and Documentation</t>
        </is>
      </c>
      <c r="D31" s="10" t="inlineStr">
        <is>
          <t>Scale 1-5</t>
        </is>
      </c>
      <c r="E31" s="12"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F31" s="13" t="n"/>
      <c r="G31" s="14">
        <f>IF(F31="","",F31)</f>
        <v/>
      </c>
    </row>
    <row r="32" ht="30" customHeight="1">
      <c r="A32" s="15" t="inlineStr">
        <is>
          <t>T2-Q4</t>
        </is>
      </c>
      <c r="B32" s="15" t="inlineStr">
        <is>
          <t>Intermediate</t>
        </is>
      </c>
      <c r="C32" s="16" t="inlineStr">
        <is>
          <t>Gap Analysis and Documentation</t>
        </is>
      </c>
      <c r="D32" s="15" t="inlineStr">
        <is>
          <t>Yes/No</t>
        </is>
      </c>
      <c r="E32" s="17" t="inlineStr">
        <is>
          <t>Do you maintain a documented, prioritized list of detection coverage gaps that is updated at least quarterly?</t>
        </is>
      </c>
      <c r="F32" s="13" t="n"/>
      <c r="G32" s="18">
        <f>IF(F32="Yes",3,IF(F32="No",1,""))</f>
        <v/>
      </c>
    </row>
    <row r="33" ht="30" customHeight="1">
      <c r="A33" s="10" t="inlineStr">
        <is>
          <t>T2-Q5</t>
        </is>
      </c>
      <c r="B33" s="10" t="inlineStr">
        <is>
          <t>Intermediate</t>
        </is>
      </c>
      <c r="C33" s="11" t="inlineStr">
        <is>
          <t>Gap Analysis and Documentation</t>
        </is>
      </c>
      <c r="D33" s="10" t="inlineStr">
        <is>
          <t>Yes/No</t>
        </is>
      </c>
      <c r="E33" s="12" t="inlineStr">
        <is>
          <t>Are detection coverage gaps formally communicated to stakeholders (leadership, IR, threat intel) at least quarterly?</t>
        </is>
      </c>
      <c r="F33" s="13" t="n"/>
      <c r="G33" s="14">
        <f>IF(F33="Yes",4,IF(F33="No",1,""))</f>
        <v/>
      </c>
    </row>
    <row r="34" ht="100" customHeight="1">
      <c r="A34" s="15" t="inlineStr">
        <is>
          <t>T2-Q6</t>
        </is>
      </c>
      <c r="B34" s="15" t="inlineStr">
        <is>
          <t>Intermediate</t>
        </is>
      </c>
      <c r="C34" s="16" t="inlineStr">
        <is>
          <t>Internal Testing and Validation</t>
        </is>
      </c>
      <c r="D34" s="15" t="inlineStr">
        <is>
          <t>Scale 1-5</t>
        </is>
      </c>
      <c r="E34" s="17"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F34" s="13" t="n"/>
      <c r="G34" s="18">
        <f>IF(F34="","",F34)</f>
        <v/>
      </c>
    </row>
    <row r="35" ht="30" customHeight="1">
      <c r="A35" s="8" t="inlineStr">
        <is>
          <t xml:space="preserve">  Advanced</t>
        </is>
      </c>
      <c r="B35" s="9" t="n"/>
      <c r="C35" s="9" t="n"/>
      <c r="D35" s="9" t="n"/>
      <c r="E35" s="9" t="n"/>
      <c r="F35" s="9" t="n"/>
      <c r="G35" s="9" t="n"/>
    </row>
    <row r="36" ht="100" customHeight="1">
      <c r="A36" s="15" t="inlineStr">
        <is>
          <t>T3-Q1</t>
        </is>
      </c>
      <c r="B36" s="15" t="inlineStr">
        <is>
          <t>Advanced</t>
        </is>
      </c>
      <c r="C36" s="16" t="inlineStr">
        <is>
          <t>False Negative Triage</t>
        </is>
      </c>
      <c r="D36" s="15" t="inlineStr">
        <is>
          <t>Scale 1-5</t>
        </is>
      </c>
      <c r="E36" s="17"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F36" s="13" t="n"/>
      <c r="G36" s="18">
        <f>IF(F36="","",F36)</f>
        <v/>
      </c>
    </row>
    <row r="37" ht="100" customHeight="1">
      <c r="A37" s="10" t="inlineStr">
        <is>
          <t>T3-Q2</t>
        </is>
      </c>
      <c r="B37" s="10" t="inlineStr">
        <is>
          <t>Advanced</t>
        </is>
      </c>
      <c r="C37" s="11" t="inlineStr">
        <is>
          <t>False Negative Triage</t>
        </is>
      </c>
      <c r="D37" s="10" t="inlineStr">
        <is>
          <t>Scale 1-5</t>
        </is>
      </c>
      <c r="E37" s="12"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F37" s="13" t="n"/>
      <c r="G37" s="14">
        <f>IF(F37="","",F37)</f>
        <v/>
      </c>
    </row>
    <row r="38" ht="100" customHeight="1">
      <c r="A38" s="15" t="inlineStr">
        <is>
          <t>T3-Q3</t>
        </is>
      </c>
      <c r="B38" s="15" t="inlineStr">
        <is>
          <t>Advanced</t>
        </is>
      </c>
      <c r="C38" s="16" t="inlineStr">
        <is>
          <t>External Validation</t>
        </is>
      </c>
      <c r="D38" s="15" t="inlineStr">
        <is>
          <t>Scale 1-5</t>
        </is>
      </c>
      <c r="E38" s="17"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F38" s="13" t="n"/>
      <c r="G38" s="18">
        <f>IF(F38="","",F38)</f>
        <v/>
      </c>
    </row>
    <row r="39" ht="100" customHeight="1">
      <c r="A39" s="10" t="inlineStr">
        <is>
          <t>T3-Q4</t>
        </is>
      </c>
      <c r="B39" s="10" t="inlineStr">
        <is>
          <t>Advanced</t>
        </is>
      </c>
      <c r="C39" s="11" t="inlineStr">
        <is>
          <t>Advanced TTP Coverage</t>
        </is>
      </c>
      <c r="D39" s="10" t="inlineStr">
        <is>
          <t>Scale 1-5</t>
        </is>
      </c>
      <c r="E39" s="12"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F39" s="13" t="n"/>
      <c r="G39" s="14">
        <f>IF(F39="","",F39)</f>
        <v/>
      </c>
    </row>
    <row r="40" ht="100" customHeight="1">
      <c r="A40" s="15" t="inlineStr">
        <is>
          <t>T3-Q5</t>
        </is>
      </c>
      <c r="B40" s="15" t="inlineStr">
        <is>
          <t>Advanced</t>
        </is>
      </c>
      <c r="C40" s="16" t="inlineStr">
        <is>
          <t>Advanced TTP Coverage</t>
        </is>
      </c>
      <c r="D40" s="15" t="inlineStr">
        <is>
          <t>Scale 1-5</t>
        </is>
      </c>
      <c r="E40" s="17"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F40" s="13" t="n"/>
      <c r="G40" s="18">
        <f>IF(F40="","",F40)</f>
        <v/>
      </c>
    </row>
    <row r="41" ht="30" customHeight="1">
      <c r="A41" s="8" t="inlineStr">
        <is>
          <t xml:space="preserve">  Expert</t>
        </is>
      </c>
      <c r="B41" s="9" t="n"/>
      <c r="C41" s="9" t="n"/>
      <c r="D41" s="9" t="n"/>
      <c r="E41" s="9" t="n"/>
      <c r="F41" s="9" t="n"/>
      <c r="G41" s="9" t="n"/>
    </row>
    <row r="42" ht="100" customHeight="1">
      <c r="A42" s="15" t="inlineStr">
        <is>
          <t>T4-Q1</t>
        </is>
      </c>
      <c r="B42" s="15" t="inlineStr">
        <is>
          <t>Expert</t>
        </is>
      </c>
      <c r="C42" s="16" t="inlineStr">
        <is>
          <t>Threat Hunting in Telemetry</t>
        </is>
      </c>
      <c r="D42" s="15" t="inlineStr">
        <is>
          <t>Scale 1-5</t>
        </is>
      </c>
      <c r="E42" s="17"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F42" s="13" t="n"/>
      <c r="G42" s="18">
        <f>IF(F42="","",F42)</f>
        <v/>
      </c>
    </row>
    <row r="43" ht="30" customHeight="1">
      <c r="A43" s="10" t="inlineStr">
        <is>
          <t>T4-Q2</t>
        </is>
      </c>
      <c r="B43" s="10" t="inlineStr">
        <is>
          <t>Expert</t>
        </is>
      </c>
      <c r="C43" s="11" t="inlineStr">
        <is>
          <t>Threat Hunting in Telemetry</t>
        </is>
      </c>
      <c r="D43" s="10" t="inlineStr">
        <is>
          <t>Yes/No</t>
        </is>
      </c>
      <c r="E43" s="12" t="inlineStr">
        <is>
          <t>Are your threat hunts driven by documented hypotheses (from intel, incidents, or gap analysis) rather than ad hoc exploration?</t>
        </is>
      </c>
      <c r="F43" s="13" t="n"/>
      <c r="G43" s="14">
        <f>IF(F43="Yes",4,IF(F43="No",1,""))</f>
        <v/>
      </c>
    </row>
    <row r="44" ht="30" customHeight="1">
      <c r="A44" s="15" t="inlineStr">
        <is>
          <t>T4-Q3</t>
        </is>
      </c>
      <c r="B44" s="15" t="inlineStr">
        <is>
          <t>Expert</t>
        </is>
      </c>
      <c r="C44" s="16" t="inlineStr">
        <is>
          <t>Threat Hunting in Telemetry</t>
        </is>
      </c>
      <c r="D44" s="15" t="inlineStr">
        <is>
          <t>Yes/No</t>
        </is>
      </c>
      <c r="E44" s="17" t="inlineStr">
        <is>
          <t>Is there a defined process to convert threat hunting findings into production detection rules?</t>
        </is>
      </c>
      <c r="F44" s="13" t="n"/>
      <c r="G44" s="18">
        <f>IF(F44="Yes",4,IF(F44="No",1,""))</f>
        <v/>
      </c>
    </row>
    <row r="45" ht="100" customHeight="1">
      <c r="A45" s="10" t="inlineStr">
        <is>
          <t>T4-Q4</t>
        </is>
      </c>
      <c r="B45" s="10" t="inlineStr">
        <is>
          <t>Expert</t>
        </is>
      </c>
      <c r="C45" s="11" t="inlineStr">
        <is>
          <t>Automation and Continuous Improvement</t>
        </is>
      </c>
      <c r="D45" s="10" t="inlineStr">
        <is>
          <t>Scale 1-5</t>
        </is>
      </c>
      <c r="E45" s="12"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F45" s="13" t="n"/>
      <c r="G45" s="14">
        <f>IF(F45="","",F45)</f>
        <v/>
      </c>
    </row>
    <row r="46" ht="100" customHeight="1">
      <c r="A46" s="15" t="inlineStr">
        <is>
          <t>T4-Q5</t>
        </is>
      </c>
      <c r="B46" s="15" t="inlineStr">
        <is>
          <t>Expert</t>
        </is>
      </c>
      <c r="C46" s="16" t="inlineStr">
        <is>
          <t>Automation and Continuous Improvement</t>
        </is>
      </c>
      <c r="D46" s="15" t="inlineStr">
        <is>
          <t>Scale 1-5</t>
        </is>
      </c>
      <c r="E46" s="17"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F46" s="13" t="n"/>
      <c r="G46" s="18">
        <f>IF(F46="","",F46)</f>
        <v/>
      </c>
    </row>
    <row r="47" ht="30" customHeight="1">
      <c r="A47" s="8" t="inlineStr">
        <is>
          <t xml:space="preserve">  Enrichment: People &amp; Organization</t>
        </is>
      </c>
      <c r="B47" s="9" t="n"/>
      <c r="C47" s="9" t="n"/>
      <c r="D47" s="9" t="n"/>
      <c r="E47" s="9" t="n"/>
      <c r="F47" s="9" t="n"/>
      <c r="G47" s="9" t="n"/>
    </row>
    <row r="48" ht="100" customHeight="1">
      <c r="A48" s="15" t="inlineStr">
        <is>
          <t>EP-Q1</t>
        </is>
      </c>
      <c r="B48" s="15" t="inlineStr">
        <is>
          <t>Enrichment: People &amp; Organization</t>
        </is>
      </c>
      <c r="C48" s="16" t="inlineStr">
        <is>
          <t>Team Structure and Dedicated Roles</t>
        </is>
      </c>
      <c r="D48" s="15" t="inlineStr">
        <is>
          <t>Scale 1-5</t>
        </is>
      </c>
      <c r="E48" s="17"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F48" s="13" t="n"/>
      <c r="G48" s="18">
        <f>IF(F48="","",F48)</f>
        <v/>
      </c>
    </row>
    <row r="49" ht="100" customHeight="1">
      <c r="A49" s="10" t="inlineStr">
        <is>
          <t>EP-Q2</t>
        </is>
      </c>
      <c r="B49" s="10" t="inlineStr">
        <is>
          <t>Enrichment: People &amp; Organization</t>
        </is>
      </c>
      <c r="C49" s="11" t="inlineStr">
        <is>
          <t>Skills Development and Training</t>
        </is>
      </c>
      <c r="D49" s="10" t="inlineStr">
        <is>
          <t>Scale 1-5</t>
        </is>
      </c>
      <c r="E49" s="12"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F49" s="13" t="n"/>
      <c r="G49" s="14">
        <f>IF(F49="","",F49)</f>
        <v/>
      </c>
    </row>
    <row r="50" ht="100" customHeight="1">
      <c r="A50" s="15" t="inlineStr">
        <is>
          <t>EP-Q3</t>
        </is>
      </c>
      <c r="B50" s="15" t="inlineStr">
        <is>
          <t>Enrichment: People &amp; Organization</t>
        </is>
      </c>
      <c r="C50" s="16" t="inlineStr">
        <is>
          <t>Leadership Commitment and Executive Sponsorship</t>
        </is>
      </c>
      <c r="D50" s="15" t="inlineStr">
        <is>
          <t>Scale 1-5</t>
        </is>
      </c>
      <c r="E50" s="17"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F50" s="13" t="n"/>
      <c r="G50" s="18">
        <f>IF(F50="","",F50)</f>
        <v/>
      </c>
    </row>
    <row r="51" ht="30" customHeight="1">
      <c r="A51" s="10" t="inlineStr">
        <is>
          <t>EP-Q4</t>
        </is>
      </c>
      <c r="B51" s="10" t="inlineStr">
        <is>
          <t>Enrichment: People &amp; Organization</t>
        </is>
      </c>
      <c r="C51" s="11" t="inlineStr">
        <is>
          <t>Leadership Commitment and Executive Sponsorship</t>
        </is>
      </c>
      <c r="D51" s="10" t="inlineStr">
        <is>
          <t>Yes/No</t>
        </is>
      </c>
      <c r="E51" s="12" t="inlineStr">
        <is>
          <t>Does your detection engineering team present metrics or results to executive leadership at least quarterly?</t>
        </is>
      </c>
      <c r="F51" s="13" t="n"/>
      <c r="G51" s="14">
        <f>IF(F51="Yes",3,IF(F51="No",1,""))</f>
        <v/>
      </c>
    </row>
    <row r="52" ht="30" customHeight="1">
      <c r="A52" s="15" t="inlineStr">
        <is>
          <t>EP-Q5</t>
        </is>
      </c>
      <c r="B52" s="15" t="inlineStr">
        <is>
          <t>Enrichment: People &amp; Organization</t>
        </is>
      </c>
      <c r="C52" s="16" t="inlineStr">
        <is>
          <t>Leadership Commitment and Executive Sponsorship</t>
        </is>
      </c>
      <c r="D52" s="15" t="inlineStr">
        <is>
          <t>Yes/No</t>
        </is>
      </c>
      <c r="E52" s="17" t="inlineStr">
        <is>
          <t>Has executive leadership made investment or staffing decisions based on detection engineering metrics or recommendations in the past year?</t>
        </is>
      </c>
      <c r="F52" s="13" t="n"/>
      <c r="G52" s="18">
        <f>IF(F52="Yes",4,IF(F52="No",1,""))</f>
        <v/>
      </c>
    </row>
    <row r="53" ht="30" customHeight="1">
      <c r="A53" s="8" t="inlineStr">
        <is>
          <t xml:space="preserve">  Enrichment: Process &amp; Governance</t>
        </is>
      </c>
      <c r="B53" s="9" t="n"/>
      <c r="C53" s="9" t="n"/>
      <c r="D53" s="9" t="n"/>
      <c r="E53" s="9" t="n"/>
      <c r="F53" s="9" t="n"/>
      <c r="G53" s="9" t="n"/>
    </row>
    <row r="54" ht="100" customHeight="1">
      <c r="A54" s="15" t="inlineStr">
        <is>
          <t>EG-Q1</t>
        </is>
      </c>
      <c r="B54" s="15" t="inlineStr">
        <is>
          <t>Enrichment: Process &amp; Governance</t>
        </is>
      </c>
      <c r="C54" s="16" t="inlineStr">
        <is>
          <t>Detection Lifecycle Workflow</t>
        </is>
      </c>
      <c r="D54" s="15" t="inlineStr">
        <is>
          <t>Scale 1-5</t>
        </is>
      </c>
      <c r="E54" s="17"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F54" s="13" t="n"/>
      <c r="G54" s="18">
        <f>IF(F54="","",F54)</f>
        <v/>
      </c>
    </row>
    <row r="55" ht="100" customHeight="1">
      <c r="A55" s="10" t="inlineStr">
        <is>
          <t>EG-Q2</t>
        </is>
      </c>
      <c r="B55" s="10" t="inlineStr">
        <is>
          <t>Enrichment: Process &amp; Governance</t>
        </is>
      </c>
      <c r="C55" s="11" t="inlineStr">
        <is>
          <t>Metrics and KPI Tracking</t>
        </is>
      </c>
      <c r="D55" s="10" t="inlineStr">
        <is>
          <t>Scale 1-5</t>
        </is>
      </c>
      <c r="E55" s="12"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F55" s="13" t="n"/>
      <c r="G55" s="14">
        <f>IF(F55="","",F55)</f>
        <v/>
      </c>
    </row>
    <row r="56" ht="100" customHeight="1">
      <c r="A56" s="15" t="inlineStr">
        <is>
          <t>EG-Q3</t>
        </is>
      </c>
      <c r="B56" s="15" t="inlineStr">
        <is>
          <t>Enrichment: Process &amp; Governance</t>
        </is>
      </c>
      <c r="C56" s="16" t="inlineStr">
        <is>
          <t>Metrics and KPI Tracking</t>
        </is>
      </c>
      <c r="D56" s="15" t="inlineStr">
        <is>
          <t>Scale 1-5</t>
        </is>
      </c>
      <c r="E56" s="17"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F56" s="13" t="n"/>
      <c r="G56" s="18">
        <f>IF(F56="","",F56)</f>
        <v/>
      </c>
    </row>
    <row r="57" ht="100" customHeight="1">
      <c r="A57" s="10" t="inlineStr">
        <is>
          <t>EG-Q4</t>
        </is>
      </c>
      <c r="B57" s="10" t="inlineStr">
        <is>
          <t>Enrichment: Process &amp; Governance</t>
        </is>
      </c>
      <c r="C57" s="11" t="inlineStr">
        <is>
          <t>Cross-Team Collaboration</t>
        </is>
      </c>
      <c r="D57" s="10" t="inlineStr">
        <is>
          <t>Scale 1-5</t>
        </is>
      </c>
      <c r="E57" s="12"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F57" s="13" t="n"/>
      <c r="G57" s="14">
        <f>IF(F57="","",F57)</f>
        <v/>
      </c>
    </row>
  </sheetData>
  <mergeCells count="13">
    <mergeCell ref="A1:G1"/>
    <mergeCell ref="C5:E5"/>
    <mergeCell ref="A18:G18"/>
    <mergeCell ref="A53:G53"/>
    <mergeCell ref="A47:G47"/>
    <mergeCell ref="A35:G35"/>
    <mergeCell ref="C4:E4"/>
    <mergeCell ref="C3:E3"/>
    <mergeCell ref="A28:G28"/>
    <mergeCell ref="C7:E7"/>
    <mergeCell ref="A41:G41"/>
    <mergeCell ref="A10:G10"/>
    <mergeCell ref="C6:E6"/>
  </mergeCells>
  <conditionalFormatting sqref="G10:G57">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C7" showDropDown="0" showInputMessage="0" showErrorMessage="0" allowBlank="0" errorTitle="Invalid Entry" error="Please select Self-Assessment or Audit" type="list">
      <formula1>"Self-Assessment,Audit"</formula1>
    </dataValidation>
    <dataValidation sqref="F12 F16 F17 F23 F24 F32 F33 F43 F44 F51 F52" showDropDown="0" showInputMessage="0" showErrorMessage="0" allowBlank="1" errorTitle="Invalid Entry" error="Please select Yes or No" promptTitle="Answer" prompt="Select Yes or No" type="list">
      <formula1>"Yes,No"</formula1>
    </dataValidation>
    <dataValidation sqref="F11 F13 F14 F15 F19 F20 F21 F22 F25 F26 F27 F29 F30 F31 F34 F36 F37 F38 F39 F40 F42 F45 F46 F48 F49 F50 F54 F55 F56 F57"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H52"/>
  <sheetViews>
    <sheetView workbookViewId="0">
      <pane ySplit="1" topLeftCell="A2" activePane="bottomLeft" state="frozen"/>
      <selection pane="bottomLeft" activeCell="A1" sqref="A1"/>
    </sheetView>
  </sheetViews>
  <sheetFormatPr baseColWidth="8" defaultRowHeight="15"/>
  <cols>
    <col width="3" customWidth="1" min="1" max="1"/>
    <col width="40" customWidth="1" min="2" max="2"/>
    <col width="15" customWidth="1" min="3" max="3"/>
    <col width="15" customWidth="1" min="4" max="4"/>
    <col width="15" customWidth="1" min="5" max="5"/>
    <col width="3" customWidth="1" min="6" max="6"/>
    <col width="50" customWidth="1" min="7" max="7"/>
    <col width="3" customWidth="1" min="8" max="8"/>
  </cols>
  <sheetData>
    <row r="1" ht="50" customHeight="1">
      <c r="A1" s="1" t="inlineStr">
        <is>
          <t xml:space="preserve">  DEBMM Assessment Results</t>
        </is>
      </c>
      <c r="B1" s="2" t="n"/>
      <c r="C1" s="2" t="n"/>
      <c r="D1" s="2" t="n"/>
      <c r="E1" s="2" t="n"/>
      <c r="F1" s="2" t="n"/>
      <c r="G1" s="2" t="n"/>
      <c r="H1" s="2" t="n"/>
    </row>
    <row r="3">
      <c r="B3" s="5" t="inlineStr">
        <is>
          <t>Organization:</t>
        </is>
      </c>
      <c r="C3" s="19">
        <f>Assessment!C3</f>
        <v/>
      </c>
    </row>
    <row r="4">
      <c r="B4" s="5" t="inlineStr">
        <is>
          <t>Assessor:</t>
        </is>
      </c>
      <c r="C4" s="19">
        <f>Assessment!C4</f>
        <v/>
      </c>
    </row>
    <row r="5">
      <c r="B5" s="5" t="inlineStr">
        <is>
          <t>Date:</t>
        </is>
      </c>
      <c r="C5" s="19">
        <f>Assessment!C6</f>
        <v/>
      </c>
    </row>
    <row r="6">
      <c r="B6" s="5" t="inlineStr">
        <is>
          <t>Type:</t>
        </is>
      </c>
      <c r="C6" s="19">
        <f>Assessment!C7</f>
        <v/>
      </c>
    </row>
    <row r="8">
      <c r="B8" s="20" t="inlineStr">
        <is>
          <t>Overall Maturity Score</t>
        </is>
      </c>
      <c r="C8" s="9" t="n"/>
      <c r="D8" s="20" t="inlineStr">
        <is>
          <t>Achieved Tier</t>
        </is>
      </c>
      <c r="E8" s="9" t="n"/>
    </row>
    <row r="9" ht="50" customHeight="1">
      <c r="B9" s="21">
        <f>IF(COUNT(C13,C14,C15,C16,C18,C19,C20,C21,C22,C23,C25,C26,C27,C29,C30,C31,C33,C34,C36,C37,C38,C40,C41,C42)=0,"",ROUND(AVERAGE(C13,C14,C15,C16,C18,C19,C20,C21,C22,C23,C25,C26,C27,C29,C30,C31,C33,C34,C36,C37,C38,C40,C41,C42),2))</f>
        <v/>
      </c>
      <c r="C9" s="22" t="n"/>
      <c r="D9" s="23">
        <f>IF(AND(AND(C13&gt;=3,C14&gt;=3,C15&gt;=3,C16&gt;=3),AND(C18&gt;=3,C19&gt;=3,C20&gt;=3,C21&gt;=3,C22&gt;=3,C23&gt;=3),AND(C25&gt;=3,C26&gt;=3,C27&gt;=3),AND(C29&gt;=3,C30&gt;=3,C31&gt;=3),AND(C33&gt;=3,C34&gt;=3)),"Tier 4: Expert",IF(AND(AND(C13&gt;=3,C14&gt;=3,C15&gt;=3,C16&gt;=3),AND(C18&gt;=3,C19&gt;=3,C20&gt;=3,C21&gt;=3,C22&gt;=3,C23&gt;=3),AND(C25&gt;=3,C26&gt;=3,C27&gt;=3),AND(C29&gt;=3,C30&gt;=3,C31&gt;=3)),"Tier 3: Advanced",IF(AND(AND(C13&gt;=3,C14&gt;=3,C15&gt;=3,C16&gt;=3),AND(C18&gt;=3,C19&gt;=3,C20&gt;=3,C21&gt;=3,C22&gt;=3,C23&gt;=3),AND(C25&gt;=3,C26&gt;=3,C27&gt;=3)),"Tier 2: Intermediate",IF(AND(AND(C13&gt;=3,C14&gt;=3,C15&gt;=3,C16&gt;=3),AND(C18&gt;=3,C19&gt;=3,C20&gt;=3,C21&gt;=3,C22&gt;=3,C23&gt;=3)),"Tier 1: Basic",IF(AND(AND(C13&gt;=3,C14&gt;=3,C15&gt;=3,C16&gt;=3)),"Tier 0: Foundation","Below Foundation")))))</f>
        <v/>
      </c>
      <c r="E9" s="22" t="n"/>
    </row>
    <row r="11">
      <c r="B11" s="7" t="inlineStr">
        <is>
          <t>Category / Criterion</t>
        </is>
      </c>
      <c r="C11" s="7" t="inlineStr">
        <is>
          <t>Score</t>
        </is>
      </c>
      <c r="D11" s="7" t="inlineStr">
        <is>
          <t>Level</t>
        </is>
      </c>
      <c r="E11" s="7" t="inlineStr">
        <is>
          <t>Status</t>
        </is>
      </c>
    </row>
    <row r="12">
      <c r="B12" s="24" t="inlineStr">
        <is>
          <t>Foundation</t>
        </is>
      </c>
      <c r="C12" s="25">
        <f>IF(COUNT(C13,C14,C15,C16)=0,"",AVERAGE(C13,C14,C15,C16))</f>
        <v/>
      </c>
      <c r="D12" s="26">
        <f>IF(C12="","",IF(C12&gt;=4.5,"Optimized",IF(C12&gt;=3.5,"Managed",IF(C12&gt;=2.5,"Defined",IF(C12&gt;=1.5,"Repeatable","Initial")))))</f>
        <v/>
      </c>
      <c r="E12" s="26" t="n"/>
    </row>
    <row r="13">
      <c r="B13" s="27" t="inlineStr">
        <is>
          <t xml:space="preserve">  Structured Rule Development Approach</t>
        </is>
      </c>
      <c r="C13" s="28">
        <f>IF(COUNT(Assessment!G11,Assessment!G12)=0,"",AVERAGE(Assessment!G11,Assessment!G12))</f>
        <v/>
      </c>
      <c r="D13" s="29">
        <f>IF(C13="","",IF(C13&gt;=4.5,"Optimized",IF(C13&gt;=3.5,"Managed",IF(C13&gt;=2.5,"Defined",IF(C13&gt;=1.5,"Repeatable","Initial")))))</f>
        <v/>
      </c>
      <c r="E13" s="29">
        <f>IF(C13="","",IF(C13&gt;=3,"Pass","Below Target"))</f>
        <v/>
      </c>
    </row>
    <row r="14">
      <c r="B14" s="27" t="inlineStr">
        <is>
          <t xml:space="preserve">  Rule Creation and Maintenance</t>
        </is>
      </c>
      <c r="C14" s="28">
        <f>IF(COUNT(Assessment!G13)=0,"",AVERAGE(Assessment!G13))</f>
        <v/>
      </c>
      <c r="D14" s="29">
        <f>IF(C14="","",IF(C14&gt;=4.5,"Optimized",IF(C14&gt;=3.5,"Managed",IF(C14&gt;=2.5,"Defined",IF(C14&gt;=1.5,"Repeatable","Initial")))))</f>
        <v/>
      </c>
      <c r="E14" s="29">
        <f>IF(C14="","",IF(C14&gt;=3,"Pass","Below Target"))</f>
        <v/>
      </c>
    </row>
    <row r="15">
      <c r="B15" s="27" t="inlineStr">
        <is>
          <t xml:space="preserve">  Roadmap Documentation</t>
        </is>
      </c>
      <c r="C15" s="28">
        <f>IF(COUNT(Assessment!G14)=0,"",AVERAGE(Assessment!G14))</f>
        <v/>
      </c>
      <c r="D15" s="29">
        <f>IF(C15="","",IF(C15&gt;=4.5,"Optimized",IF(C15&gt;=3.5,"Managed",IF(C15&gt;=2.5,"Defined",IF(C15&gt;=1.5,"Repeatable","Initial")))))</f>
        <v/>
      </c>
      <c r="E15" s="29">
        <f>IF(C15="","",IF(C15&gt;=3,"Pass","Below Target"))</f>
        <v/>
      </c>
    </row>
    <row r="16">
      <c r="B16" s="27" t="inlineStr">
        <is>
          <t xml:space="preserve">  Threat Modeling</t>
        </is>
      </c>
      <c r="C16" s="28">
        <f>IF(COUNT(Assessment!G15,Assessment!G16,Assessment!G17)=0,"",AVERAGE(Assessment!G15,Assessment!G16,Assessment!G17))</f>
        <v/>
      </c>
      <c r="D16" s="29">
        <f>IF(C16="","",IF(C16&gt;=4.5,"Optimized",IF(C16&gt;=3.5,"Managed",IF(C16&gt;=2.5,"Defined",IF(C16&gt;=1.5,"Repeatable","Initial")))))</f>
        <v/>
      </c>
      <c r="E16" s="29">
        <f>IF(C16="","",IF(C16&gt;=3,"Pass","Below Target"))</f>
        <v/>
      </c>
    </row>
    <row r="17">
      <c r="B17" s="24" t="inlineStr">
        <is>
          <t>Basic</t>
        </is>
      </c>
      <c r="C17" s="25">
        <f>IF(COUNT(C18,C19,C20,C21,C22,C23)=0,"",AVERAGE(C18,C19,C20,C21,C22,C23))</f>
        <v/>
      </c>
      <c r="D17" s="26">
        <f>IF(C17="","",IF(C17&gt;=4.5,"Optimized",IF(C17&gt;=3.5,"Managed",IF(C17&gt;=2.5,"Defined",IF(C17&gt;=1.5,"Repeatable","Initial")))))</f>
        <v/>
      </c>
      <c r="E17" s="26" t="n"/>
    </row>
    <row r="18">
      <c r="B18" s="27" t="inlineStr">
        <is>
          <t xml:space="preserve">  Baseline Rule Creation</t>
        </is>
      </c>
      <c r="C18" s="28">
        <f>IF(COUNT(Assessment!G19,Assessment!G20)=0,"",AVERAGE(Assessment!G19,Assessment!G20))</f>
        <v/>
      </c>
      <c r="D18" s="29">
        <f>IF(C18="","",IF(C18&gt;=4.5,"Optimized",IF(C18&gt;=3.5,"Managed",IF(C18&gt;=2.5,"Defined",IF(C18&gt;=1.5,"Repeatable","Initial")))))</f>
        <v/>
      </c>
      <c r="E18" s="29">
        <f>IF(C18="","",IF(C18&gt;=3,"Pass","Below Target"))</f>
        <v/>
      </c>
    </row>
    <row r="19">
      <c r="B19" s="27" t="inlineStr">
        <is>
          <t xml:space="preserve">  Ruleset Management and Maintenance</t>
        </is>
      </c>
      <c r="C19" s="28">
        <f>IF(COUNT(Assessment!G21)=0,"",AVERAGE(Assessment!G21))</f>
        <v/>
      </c>
      <c r="D19" s="29">
        <f>IF(C19="","",IF(C19&gt;=4.5,"Optimized",IF(C19&gt;=3.5,"Managed",IF(C19&gt;=2.5,"Defined",IF(C19&gt;=1.5,"Repeatable","Initial")))))</f>
        <v/>
      </c>
      <c r="E19" s="29">
        <f>IF(C19="","",IF(C19&gt;=3,"Pass","Below Target"))</f>
        <v/>
      </c>
    </row>
    <row r="20">
      <c r="B20" s="27" t="inlineStr">
        <is>
          <t xml:space="preserve">  Telemetry Quality</t>
        </is>
      </c>
      <c r="C20" s="28">
        <f>IF(COUNT(Assessment!G22,Assessment!G23,Assessment!G24)=0,"",AVERAGE(Assessment!G22,Assessment!G23,Assessment!G24))</f>
        <v/>
      </c>
      <c r="D20" s="29">
        <f>IF(C20="","",IF(C20&gt;=4.5,"Optimized",IF(C20&gt;=3.5,"Managed",IF(C20&gt;=2.5,"Defined",IF(C20&gt;=1.5,"Repeatable","Initial")))))</f>
        <v/>
      </c>
      <c r="E20" s="29">
        <f>IF(C20="","",IF(C20&gt;=3,"Pass","Below Target"))</f>
        <v/>
      </c>
    </row>
    <row r="21">
      <c r="B21" s="27" t="inlineStr">
        <is>
          <t xml:space="preserve">  Threat Landscape Review</t>
        </is>
      </c>
      <c r="C21" s="28">
        <f>IF(COUNT(Assessment!G25)=0,"",AVERAGE(Assessment!G25))</f>
        <v/>
      </c>
      <c r="D21" s="29">
        <f>IF(C21="","",IF(C21&gt;=4.5,"Optimized",IF(C21&gt;=3.5,"Managed",IF(C21&gt;=2.5,"Defined",IF(C21&gt;=1.5,"Repeatable","Initial")))))</f>
        <v/>
      </c>
      <c r="E21" s="29">
        <f>IF(C21="","",IF(C21&gt;=3,"Pass","Below Target"))</f>
        <v/>
      </c>
    </row>
    <row r="22">
      <c r="B22" s="27" t="inlineStr">
        <is>
          <t xml:space="preserve">  Product Owner Engagement</t>
        </is>
      </c>
      <c r="C22" s="28">
        <f>IF(COUNT(Assessment!G26)=0,"",AVERAGE(Assessment!G26))</f>
        <v/>
      </c>
      <c r="D22" s="29">
        <f>IF(C22="","",IF(C22&gt;=4.5,"Optimized",IF(C22&gt;=3.5,"Managed",IF(C22&gt;=2.5,"Defined",IF(C22&gt;=1.5,"Repeatable","Initial")))))</f>
        <v/>
      </c>
      <c r="E22" s="29">
        <f>IF(C22="","",IF(C22&gt;=3,"Pass","Below Target"))</f>
        <v/>
      </c>
    </row>
    <row r="23">
      <c r="B23" s="27" t="inlineStr">
        <is>
          <t xml:space="preserve">  Release Testing and Validation</t>
        </is>
      </c>
      <c r="C23" s="28">
        <f>IF(COUNT(Assessment!G27)=0,"",AVERAGE(Assessment!G27))</f>
        <v/>
      </c>
      <c r="D23" s="29">
        <f>IF(C23="","",IF(C23&gt;=4.5,"Optimized",IF(C23&gt;=3.5,"Managed",IF(C23&gt;=2.5,"Defined",IF(C23&gt;=1.5,"Repeatable","Initial")))))</f>
        <v/>
      </c>
      <c r="E23" s="29">
        <f>IF(C23="","",IF(C23&gt;=3,"Pass","Below Target"))</f>
        <v/>
      </c>
    </row>
    <row r="24">
      <c r="B24" s="24" t="inlineStr">
        <is>
          <t>Intermediate</t>
        </is>
      </c>
      <c r="C24" s="25">
        <f>IF(COUNT(C25,C26,C27)=0,"",AVERAGE(C25,C26,C27))</f>
        <v/>
      </c>
      <c r="D24" s="26">
        <f>IF(C24="","",IF(C24&gt;=4.5,"Optimized",IF(C24&gt;=3.5,"Managed",IF(C24&gt;=2.5,"Defined",IF(C24&gt;=1.5,"Repeatable","Initial")))))</f>
        <v/>
      </c>
      <c r="E24" s="26" t="n"/>
    </row>
    <row r="25">
      <c r="B25" s="27" t="inlineStr">
        <is>
          <t xml:space="preserve">  False Positive Tuning and Reduction</t>
        </is>
      </c>
      <c r="C25" s="28">
        <f>IF(COUNT(Assessment!G29,Assessment!G30)=0,"",AVERAGE(Assessment!G29,Assessment!G30))</f>
        <v/>
      </c>
      <c r="D25" s="29">
        <f>IF(C25="","",IF(C25&gt;=4.5,"Optimized",IF(C25&gt;=3.5,"Managed",IF(C25&gt;=2.5,"Defined",IF(C25&gt;=1.5,"Repeatable","Initial")))))</f>
        <v/>
      </c>
      <c r="E25" s="29">
        <f>IF(C25="","",IF(C25&gt;=3,"Pass","Below Target"))</f>
        <v/>
      </c>
    </row>
    <row r="26">
      <c r="B26" s="27" t="inlineStr">
        <is>
          <t xml:space="preserve">  Gap Analysis and Documentation</t>
        </is>
      </c>
      <c r="C26" s="28">
        <f>IF(COUNT(Assessment!G31,Assessment!G32,Assessment!G33)=0,"",AVERAGE(Assessment!G31,Assessment!G32,Assessment!G33))</f>
        <v/>
      </c>
      <c r="D26" s="29">
        <f>IF(C26="","",IF(C26&gt;=4.5,"Optimized",IF(C26&gt;=3.5,"Managed",IF(C26&gt;=2.5,"Defined",IF(C26&gt;=1.5,"Repeatable","Initial")))))</f>
        <v/>
      </c>
      <c r="E26" s="29">
        <f>IF(C26="","",IF(C26&gt;=3,"Pass","Below Target"))</f>
        <v/>
      </c>
    </row>
    <row r="27">
      <c r="B27" s="27" t="inlineStr">
        <is>
          <t xml:space="preserve">  Internal Testing and Validation</t>
        </is>
      </c>
      <c r="C27" s="28">
        <f>IF(COUNT(Assessment!G34)=0,"",AVERAGE(Assessment!G34))</f>
        <v/>
      </c>
      <c r="D27" s="29">
        <f>IF(C27="","",IF(C27&gt;=4.5,"Optimized",IF(C27&gt;=3.5,"Managed",IF(C27&gt;=2.5,"Defined",IF(C27&gt;=1.5,"Repeatable","Initial")))))</f>
        <v/>
      </c>
      <c r="E27" s="29">
        <f>IF(C27="","",IF(C27&gt;=3,"Pass","Below Target"))</f>
        <v/>
      </c>
    </row>
    <row r="28">
      <c r="B28" s="24" t="inlineStr">
        <is>
          <t>Advanced</t>
        </is>
      </c>
      <c r="C28" s="25">
        <f>IF(COUNT(C29,C30,C31)=0,"",AVERAGE(C29,C30,C31))</f>
        <v/>
      </c>
      <c r="D28" s="26">
        <f>IF(C28="","",IF(C28&gt;=4.5,"Optimized",IF(C28&gt;=3.5,"Managed",IF(C28&gt;=2.5,"Defined",IF(C28&gt;=1.5,"Repeatable","Initial")))))</f>
        <v/>
      </c>
      <c r="E28" s="26" t="n"/>
    </row>
    <row r="29">
      <c r="B29" s="27" t="inlineStr">
        <is>
          <t xml:space="preserve">  False Negative Triage</t>
        </is>
      </c>
      <c r="C29" s="28">
        <f>IF(COUNT(Assessment!G36,Assessment!G37)=0,"",AVERAGE(Assessment!G36,Assessment!G37))</f>
        <v/>
      </c>
      <c r="D29" s="29">
        <f>IF(C29="","",IF(C29&gt;=4.5,"Optimized",IF(C29&gt;=3.5,"Managed",IF(C29&gt;=2.5,"Defined",IF(C29&gt;=1.5,"Repeatable","Initial")))))</f>
        <v/>
      </c>
      <c r="E29" s="29">
        <f>IF(C29="","",IF(C29&gt;=3,"Pass","Below Target"))</f>
        <v/>
      </c>
    </row>
    <row r="30">
      <c r="B30" s="27" t="inlineStr">
        <is>
          <t xml:space="preserve">  External Validation</t>
        </is>
      </c>
      <c r="C30" s="28">
        <f>IF(COUNT(Assessment!G38)=0,"",AVERAGE(Assessment!G38))</f>
        <v/>
      </c>
      <c r="D30" s="29">
        <f>IF(C30="","",IF(C30&gt;=4.5,"Optimized",IF(C30&gt;=3.5,"Managed",IF(C30&gt;=2.5,"Defined",IF(C30&gt;=1.5,"Repeatable","Initial")))))</f>
        <v/>
      </c>
      <c r="E30" s="29">
        <f>IF(C30="","",IF(C30&gt;=3,"Pass","Below Target"))</f>
        <v/>
      </c>
    </row>
    <row r="31">
      <c r="B31" s="27" t="inlineStr">
        <is>
          <t xml:space="preserve">  Advanced TTP Coverage</t>
        </is>
      </c>
      <c r="C31" s="28">
        <f>IF(COUNT(Assessment!G39,Assessment!G40)=0,"",AVERAGE(Assessment!G39,Assessment!G40))</f>
        <v/>
      </c>
      <c r="D31" s="29">
        <f>IF(C31="","",IF(C31&gt;=4.5,"Optimized",IF(C31&gt;=3.5,"Managed",IF(C31&gt;=2.5,"Defined",IF(C31&gt;=1.5,"Repeatable","Initial")))))</f>
        <v/>
      </c>
      <c r="E31" s="29">
        <f>IF(C31="","",IF(C31&gt;=3,"Pass","Below Target"))</f>
        <v/>
      </c>
    </row>
    <row r="32">
      <c r="B32" s="24" t="inlineStr">
        <is>
          <t>Expert</t>
        </is>
      </c>
      <c r="C32" s="25">
        <f>IF(COUNT(C33,C34)=0,"",AVERAGE(C33,C34))</f>
        <v/>
      </c>
      <c r="D32" s="26">
        <f>IF(C32="","",IF(C32&gt;=4.5,"Optimized",IF(C32&gt;=3.5,"Managed",IF(C32&gt;=2.5,"Defined",IF(C32&gt;=1.5,"Repeatable","Initial")))))</f>
        <v/>
      </c>
      <c r="E32" s="26" t="n"/>
    </row>
    <row r="33">
      <c r="B33" s="27" t="inlineStr">
        <is>
          <t xml:space="preserve">  Threat Hunting in Telemetry</t>
        </is>
      </c>
      <c r="C33" s="28">
        <f>IF(COUNT(Assessment!G42,Assessment!G43,Assessment!G44)=0,"",AVERAGE(Assessment!G42,Assessment!G43,Assessment!G44))</f>
        <v/>
      </c>
      <c r="D33" s="29">
        <f>IF(C33="","",IF(C33&gt;=4.5,"Optimized",IF(C33&gt;=3.5,"Managed",IF(C33&gt;=2.5,"Defined",IF(C33&gt;=1.5,"Repeatable","Initial")))))</f>
        <v/>
      </c>
      <c r="E33" s="29">
        <f>IF(C33="","",IF(C33&gt;=3,"Pass","Below Target"))</f>
        <v/>
      </c>
    </row>
    <row r="34">
      <c r="B34" s="27" t="inlineStr">
        <is>
          <t xml:space="preserve">  Automation and Continuous Improvement</t>
        </is>
      </c>
      <c r="C34" s="28">
        <f>IF(COUNT(Assessment!G45,Assessment!G46)=0,"",AVERAGE(Assessment!G45,Assessment!G46))</f>
        <v/>
      </c>
      <c r="D34" s="29">
        <f>IF(C34="","",IF(C34&gt;=4.5,"Optimized",IF(C34&gt;=3.5,"Managed",IF(C34&gt;=2.5,"Defined",IF(C34&gt;=1.5,"Repeatable","Initial")))))</f>
        <v/>
      </c>
      <c r="E34" s="29">
        <f>IF(C34="","",IF(C34&gt;=3,"Pass","Below Target"))</f>
        <v/>
      </c>
    </row>
    <row r="35">
      <c r="B35" s="24" t="inlineStr">
        <is>
          <t>Enrichment: People &amp; Organization</t>
        </is>
      </c>
      <c r="C35" s="25">
        <f>IF(COUNT(C36,C37,C38)=0,"",AVERAGE(C36,C37,C38))</f>
        <v/>
      </c>
      <c r="D35" s="26">
        <f>IF(C35="","",IF(C35&gt;=4.5,"Optimized",IF(C35&gt;=3.5,"Managed",IF(C35&gt;=2.5,"Defined",IF(C35&gt;=1.5,"Repeatable","Initial")))))</f>
        <v/>
      </c>
      <c r="E35" s="26" t="n"/>
    </row>
    <row r="36">
      <c r="B36" s="27" t="inlineStr">
        <is>
          <t xml:space="preserve">  Team Structure and Dedicated Roles</t>
        </is>
      </c>
      <c r="C36" s="28">
        <f>IF(COUNT(Assessment!G48)=0,"",AVERAGE(Assessment!G48))</f>
        <v/>
      </c>
      <c r="D36" s="29">
        <f>IF(C36="","",IF(C36&gt;=4.5,"Optimized",IF(C36&gt;=3.5,"Managed",IF(C36&gt;=2.5,"Defined",IF(C36&gt;=1.5,"Repeatable","Initial")))))</f>
        <v/>
      </c>
      <c r="E36" s="29">
        <f>IF(C36="","",IF(C36&gt;=3,"Pass","Below Target"))</f>
        <v/>
      </c>
    </row>
    <row r="37">
      <c r="B37" s="27" t="inlineStr">
        <is>
          <t xml:space="preserve">  Skills Development and Training</t>
        </is>
      </c>
      <c r="C37" s="28">
        <f>IF(COUNT(Assessment!G49)=0,"",AVERAGE(Assessment!G49))</f>
        <v/>
      </c>
      <c r="D37" s="29">
        <f>IF(C37="","",IF(C37&gt;=4.5,"Optimized",IF(C37&gt;=3.5,"Managed",IF(C37&gt;=2.5,"Defined",IF(C37&gt;=1.5,"Repeatable","Initial")))))</f>
        <v/>
      </c>
      <c r="E37" s="29">
        <f>IF(C37="","",IF(C37&gt;=3,"Pass","Below Target"))</f>
        <v/>
      </c>
    </row>
    <row r="38">
      <c r="B38" s="27" t="inlineStr">
        <is>
          <t xml:space="preserve">  Leadership Commitment and Executive Sponsorship</t>
        </is>
      </c>
      <c r="C38" s="28">
        <f>IF(COUNT(Assessment!G50,Assessment!G51,Assessment!G52)=0,"",AVERAGE(Assessment!G50,Assessment!G51,Assessment!G52))</f>
        <v/>
      </c>
      <c r="D38" s="29">
        <f>IF(C38="","",IF(C38&gt;=4.5,"Optimized",IF(C38&gt;=3.5,"Managed",IF(C38&gt;=2.5,"Defined",IF(C38&gt;=1.5,"Repeatable","Initial")))))</f>
        <v/>
      </c>
      <c r="E38" s="29">
        <f>IF(C38="","",IF(C38&gt;=3,"Pass","Below Target"))</f>
        <v/>
      </c>
    </row>
    <row r="39">
      <c r="B39" s="24" t="inlineStr">
        <is>
          <t>Enrichment: Process &amp; Governance</t>
        </is>
      </c>
      <c r="C39" s="25">
        <f>IF(COUNT(C40,C41,C42)=0,"",AVERAGE(C40,C41,C42))</f>
        <v/>
      </c>
      <c r="D39" s="26">
        <f>IF(C39="","",IF(C39&gt;=4.5,"Optimized",IF(C39&gt;=3.5,"Managed",IF(C39&gt;=2.5,"Defined",IF(C39&gt;=1.5,"Repeatable","Initial")))))</f>
        <v/>
      </c>
      <c r="E39" s="26" t="n"/>
    </row>
    <row r="40">
      <c r="B40" s="27" t="inlineStr">
        <is>
          <t xml:space="preserve">  Detection Lifecycle Workflow</t>
        </is>
      </c>
      <c r="C40" s="28">
        <f>IF(COUNT(Assessment!G54)=0,"",AVERAGE(Assessment!G54))</f>
        <v/>
      </c>
      <c r="D40" s="29">
        <f>IF(C40="","",IF(C40&gt;=4.5,"Optimized",IF(C40&gt;=3.5,"Managed",IF(C40&gt;=2.5,"Defined",IF(C40&gt;=1.5,"Repeatable","Initial")))))</f>
        <v/>
      </c>
      <c r="E40" s="29">
        <f>IF(C40="","",IF(C40&gt;=3,"Pass","Below Target"))</f>
        <v/>
      </c>
    </row>
    <row r="41">
      <c r="B41" s="27" t="inlineStr">
        <is>
          <t xml:space="preserve">  Metrics and KPI Tracking</t>
        </is>
      </c>
      <c r="C41" s="28">
        <f>IF(COUNT(Assessment!G55,Assessment!G56)=0,"",AVERAGE(Assessment!G55,Assessment!G56))</f>
        <v/>
      </c>
      <c r="D41" s="29">
        <f>IF(C41="","",IF(C41&gt;=4.5,"Optimized",IF(C41&gt;=3.5,"Managed",IF(C41&gt;=2.5,"Defined",IF(C41&gt;=1.5,"Repeatable","Initial")))))</f>
        <v/>
      </c>
      <c r="E41" s="29">
        <f>IF(C41="","",IF(C41&gt;=3,"Pass","Below Target"))</f>
        <v/>
      </c>
    </row>
    <row r="42">
      <c r="B42" s="27" t="inlineStr">
        <is>
          <t xml:space="preserve">  Cross-Team Collaboration</t>
        </is>
      </c>
      <c r="C42" s="28">
        <f>IF(COUNT(Assessment!G57)=0,"",AVERAGE(Assessment!G57))</f>
        <v/>
      </c>
      <c r="D42" s="29">
        <f>IF(C42="","",IF(C42&gt;=4.5,"Optimized",IF(C42&gt;=3.5,"Managed",IF(C42&gt;=2.5,"Defined",IF(C42&gt;=1.5,"Repeatable","Initial")))))</f>
        <v/>
      </c>
      <c r="E42" s="29">
        <f>IF(C42="","",IF(C42&gt;=3,"Pass","Below Target"))</f>
        <v/>
      </c>
    </row>
    <row r="45">
      <c r="G45" s="30" t="inlineStr">
        <is>
          <t>Category</t>
        </is>
      </c>
      <c r="H45" s="30" t="inlineStr">
        <is>
          <t>Score</t>
        </is>
      </c>
    </row>
    <row r="46">
      <c r="G46" s="19" t="inlineStr">
        <is>
          <t>Foundation</t>
        </is>
      </c>
      <c r="H46" s="31">
        <f>C12</f>
        <v/>
      </c>
    </row>
    <row r="47">
      <c r="G47" s="19" t="inlineStr">
        <is>
          <t>Basic</t>
        </is>
      </c>
      <c r="H47" s="31">
        <f>C17</f>
        <v/>
      </c>
    </row>
    <row r="48">
      <c r="G48" s="19" t="inlineStr">
        <is>
          <t>Intermediate</t>
        </is>
      </c>
      <c r="H48" s="31">
        <f>C24</f>
        <v/>
      </c>
    </row>
    <row r="49">
      <c r="G49" s="19" t="inlineStr">
        <is>
          <t>Advanced</t>
        </is>
      </c>
      <c r="H49" s="31">
        <f>C28</f>
        <v/>
      </c>
    </row>
    <row r="50">
      <c r="G50" s="19" t="inlineStr">
        <is>
          <t>Expert</t>
        </is>
      </c>
      <c r="H50" s="31">
        <f>C32</f>
        <v/>
      </c>
    </row>
    <row r="51">
      <c r="G51" s="19" t="inlineStr">
        <is>
          <t>Enrichment: People &amp; Organization</t>
        </is>
      </c>
      <c r="H51" s="31">
        <f>C35</f>
        <v/>
      </c>
    </row>
    <row r="52">
      <c r="G52" s="19" t="inlineStr">
        <is>
          <t>Enrichment: Process &amp; Governance</t>
        </is>
      </c>
      <c r="H52" s="31">
        <f>C39</f>
        <v/>
      </c>
    </row>
  </sheetData>
  <mergeCells count="5">
    <mergeCell ref="D8:E8"/>
    <mergeCell ref="B8:C8"/>
    <mergeCell ref="A1:H1"/>
    <mergeCell ref="B9:C9"/>
    <mergeCell ref="D9:E9"/>
  </mergeCells>
  <conditionalFormatting sqref="C12:C42">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B9:C9">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ED7D31"/>
    <outlinePr summaryBelow="1" summaryRight="1"/>
    <pageSetUpPr/>
  </sheetPr>
  <dimension ref="A1:D207"/>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60" customWidth="1" min="3" max="3"/>
    <col width="40" customWidth="1" min="4" max="4"/>
  </cols>
  <sheetData>
    <row r="1" ht="40" customHeight="1">
      <c r="A1" s="1" t="inlineStr">
        <is>
          <t xml:space="preserve">  DEBMM Rubric Reference</t>
        </is>
      </c>
      <c r="B1" s="2" t="n"/>
      <c r="C1" s="2" t="n"/>
      <c r="D1" s="2" t="n"/>
    </row>
    <row r="3" ht="30" customHeight="1">
      <c r="A3" s="32" t="inlineStr">
        <is>
          <t>Foundation</t>
        </is>
      </c>
      <c r="B3" s="9" t="n"/>
      <c r="C3" s="9" t="n"/>
      <c r="D3" s="9" t="n"/>
    </row>
    <row r="4">
      <c r="A4" s="33" t="inlineStr">
        <is>
          <t>Establishes the basic groundwork for detection engineering. Without these foundational practices, higher-tier activities lack structure and consistency.</t>
        </is>
      </c>
    </row>
    <row r="5">
      <c r="A5" s="34" t="inlineStr">
        <is>
          <t>Structured Rule Development Approach</t>
        </is>
      </c>
      <c r="B5" s="35" t="n"/>
      <c r="C5" s="35" t="n"/>
      <c r="D5" s="35" t="n"/>
    </row>
    <row r="6">
      <c r="A6" s="7" t="inlineStr">
        <is>
          <t>Criterion</t>
        </is>
      </c>
      <c r="B6" s="7" t="inlineStr">
        <is>
          <t>Level</t>
        </is>
      </c>
      <c r="C6" s="7" t="inlineStr">
        <is>
          <t>Qualitative Description</t>
        </is>
      </c>
      <c r="D6" s="7" t="inlineStr">
        <is>
          <t>Quantitative Measure</t>
        </is>
      </c>
    </row>
    <row r="7" ht="45" customHeight="1">
      <c r="A7" s="12" t="inlineStr">
        <is>
          <t>Structured Rule Development Approach</t>
        </is>
      </c>
      <c r="B7" s="36" t="inlineStr">
        <is>
          <t>1 - Initial</t>
        </is>
      </c>
      <c r="C7" s="12" t="inlineStr">
        <is>
          <t>No structured approach to rule development. Rules are created randomly or reactively without any guiding methodology.</t>
        </is>
      </c>
      <c r="D7" s="12" t="inlineStr">
        <is>
          <t>0% of rules follow a formal development process.</t>
        </is>
      </c>
    </row>
    <row r="8" ht="45" customHeight="1">
      <c r="A8" s="17" t="inlineStr"/>
      <c r="B8" s="37" t="inlineStr">
        <is>
          <t>2 - Repeatable</t>
        </is>
      </c>
      <c r="C8" s="17" t="inlineStr">
        <is>
          <t>Some rules follow a loose process, but it is inconsistently applied. Individual contributors may have personal workflows.</t>
        </is>
      </c>
      <c r="D8" s="17" t="inlineStr">
        <is>
          <t>&lt;30% of rules follow a documented development process.</t>
        </is>
      </c>
    </row>
    <row r="9" ht="45" customHeight="1">
      <c r="A9" s="12" t="inlineStr"/>
      <c r="B9" s="36" t="inlineStr">
        <is>
          <t>3 - Defined</t>
        </is>
      </c>
      <c r="C9" s="12" t="inlineStr">
        <is>
          <t>A defined rule development methodology exists and is documented. Most new rules follow the standard process including peer review.</t>
        </is>
      </c>
      <c r="D9" s="12" t="inlineStr">
        <is>
          <t>50-70% of rules follow the documented process; schema alignment &gt;60%.</t>
        </is>
      </c>
    </row>
    <row r="10" ht="45" customHeight="1">
      <c r="A10" s="17" t="inlineStr"/>
      <c r="B10" s="37" t="inlineStr">
        <is>
          <t>4 - Managed</t>
        </is>
      </c>
      <c r="C10" s="17" t="inlineStr">
        <is>
          <t>Rule development is standardized across the team with enforced workflows, templates, and quality gates. Deviations are tracked and addressed.</t>
        </is>
      </c>
      <c r="D10" s="17" t="inlineStr">
        <is>
          <t>80-90% schema alignment; all new rules go through formal review.</t>
        </is>
      </c>
    </row>
    <row r="11" ht="45" customHeight="1">
      <c r="A11" s="12" t="inlineStr"/>
      <c r="B11" s="36" t="inlineStr">
        <is>
          <t>5 - Optimized</t>
        </is>
      </c>
      <c r="C11" s="12" t="inlineStr">
        <is>
          <t>Continuous improvement of the development process based on feedback loops. Process is fully integrated with CI/CD and automated quality checks.</t>
        </is>
      </c>
      <c r="D11" s="12" t="inlineStr">
        <is>
          <t>90-100% schema alignment; automated linting and validation on all rules.</t>
        </is>
      </c>
    </row>
    <row r="13">
      <c r="A13" s="34" t="inlineStr">
        <is>
          <t>Rule Creation and Maintenance</t>
        </is>
      </c>
      <c r="B13" s="35" t="n"/>
      <c r="C13" s="35" t="n"/>
      <c r="D13" s="35" t="n"/>
    </row>
    <row r="14">
      <c r="A14" s="7" t="inlineStr">
        <is>
          <t>Criterion</t>
        </is>
      </c>
      <c r="B14" s="7" t="inlineStr">
        <is>
          <t>Level</t>
        </is>
      </c>
      <c r="C14" s="7" t="inlineStr">
        <is>
          <t>Qualitative Description</t>
        </is>
      </c>
      <c r="D14" s="7" t="inlineStr">
        <is>
          <t>Quantitative Measure</t>
        </is>
      </c>
    </row>
    <row r="15" ht="45" customHeight="1">
      <c r="A15" s="12" t="inlineStr">
        <is>
          <t>Rule Creation and Maintenance</t>
        </is>
      </c>
      <c r="B15" s="36" t="inlineStr">
        <is>
          <t>1 - Initial</t>
        </is>
      </c>
      <c r="C15" s="12" t="inlineStr">
        <is>
          <t>Rules are created ad hoc with no maintenance schedule. Stale or broken rules accumulate over time.</t>
        </is>
      </c>
      <c r="D15" s="12" t="inlineStr">
        <is>
          <t>&lt;50% of rules reviewed annually.</t>
        </is>
      </c>
    </row>
    <row r="16" ht="45" customHeight="1">
      <c r="A16" s="17" t="inlineStr"/>
      <c r="B16" s="37" t="inlineStr">
        <is>
          <t>2 - Repeatable</t>
        </is>
      </c>
      <c r="C16" s="17" t="inlineStr">
        <is>
          <t>Some rules are periodically reviewed, but there is no systematic maintenance process. Updates happen reactively.</t>
        </is>
      </c>
      <c r="D16" s="17" t="inlineStr">
        <is>
          <t>50-70% of rules reviewed annually; no formal peer review.</t>
        </is>
      </c>
    </row>
    <row r="17" ht="45" customHeight="1">
      <c r="A17" s="12" t="inlineStr"/>
      <c r="B17" s="36" t="inlineStr">
        <is>
          <t>3 - Defined</t>
        </is>
      </c>
      <c r="C17" s="12" t="inlineStr">
        <is>
          <t>Regular rule review cycles are established. Rules have owners and defined review schedules. Peer review is standard practice.</t>
        </is>
      </c>
      <c r="D17" s="12" t="inlineStr">
        <is>
          <t>70-80% of rules reviewed on schedule; peer review on most changes.</t>
        </is>
      </c>
    </row>
    <row r="18" ht="45" customHeight="1">
      <c r="A18" s="17" t="inlineStr"/>
      <c r="B18" s="37" t="inlineStr">
        <is>
          <t>4 - Managed</t>
        </is>
      </c>
      <c r="C18" s="17" t="inlineStr">
        <is>
          <t>Comprehensive rule lifecycle management with creation, testing, deployment, monitoring, and retirement processes. All changes are peer-reviewed.</t>
        </is>
      </c>
      <c r="D18" s="17" t="inlineStr">
        <is>
          <t>80-90% of rules reviewed on schedule; 100% peer review on changes.</t>
        </is>
      </c>
    </row>
    <row r="19" ht="45" customHeight="1">
      <c r="A19" s="12" t="inlineStr"/>
      <c r="B19" s="36" t="inlineStr">
        <is>
          <t>5 - Optimized</t>
        </is>
      </c>
      <c r="C19" s="12" t="inlineStr">
        <is>
          <t>Continuous rule improvement with automated monitoring of rule health. Automated updates triggered by telemetry changes or threat intelligence.</t>
        </is>
      </c>
      <c r="D19" s="12" t="inlineStr">
        <is>
          <t>90-100% of rules reviewed on schedule; automated health monitoring.</t>
        </is>
      </c>
    </row>
    <row r="21">
      <c r="A21" s="34" t="inlineStr">
        <is>
          <t>Roadmap Documentation</t>
        </is>
      </c>
      <c r="B21" s="35" t="n"/>
      <c r="C21" s="35" t="n"/>
      <c r="D21" s="35" t="n"/>
    </row>
    <row r="22">
      <c r="A22" s="7" t="inlineStr">
        <is>
          <t>Criterion</t>
        </is>
      </c>
      <c r="B22" s="7" t="inlineStr">
        <is>
          <t>Level</t>
        </is>
      </c>
      <c r="C22" s="7" t="inlineStr">
        <is>
          <t>Qualitative Description</t>
        </is>
      </c>
      <c r="D22" s="7" t="inlineStr">
        <is>
          <t>Quantitative Measure</t>
        </is>
      </c>
    </row>
    <row r="23" ht="45" customHeight="1">
      <c r="A23" s="12" t="inlineStr">
        <is>
          <t>Roadmap Documentation</t>
        </is>
      </c>
      <c r="B23" s="36" t="inlineStr">
        <is>
          <t>1 - Initial</t>
        </is>
      </c>
      <c r="C23" s="12" t="inlineStr">
        <is>
          <t>No detection roadmap exists. Work is entirely reactive or driven by individual initiative.</t>
        </is>
      </c>
      <c r="D23" s="12" t="inlineStr">
        <is>
          <t>0% of detection work tied to a documented plan.</t>
        </is>
      </c>
    </row>
    <row r="24" ht="45" customHeight="1">
      <c r="A24" s="17" t="inlineStr"/>
      <c r="B24" s="37" t="inlineStr">
        <is>
          <t>2 - Repeatable</t>
        </is>
      </c>
      <c r="C24" s="17" t="inlineStr">
        <is>
          <t>An informal roadmap or backlog exists but is not regularly maintained or communicated to stakeholders.</t>
        </is>
      </c>
      <c r="D24" s="17" t="inlineStr">
        <is>
          <t>&lt;30% of rules have scheduled review or development timelines.</t>
        </is>
      </c>
    </row>
    <row r="25" ht="45" customHeight="1">
      <c r="A25" s="12" t="inlineStr"/>
      <c r="B25" s="36" t="inlineStr">
        <is>
          <t>3 - Defined</t>
        </is>
      </c>
      <c r="C25" s="12" t="inlineStr">
        <is>
          <t>A formal roadmap is documented, reviewed quarterly, and shared with relevant stakeholders. Priorities are clear.</t>
        </is>
      </c>
      <c r="D25" s="12" t="inlineStr">
        <is>
          <t>50-70% of planned work is tracked against the roadmap.</t>
        </is>
      </c>
    </row>
    <row r="26" ht="45" customHeight="1">
      <c r="A26" s="17" t="inlineStr"/>
      <c r="B26" s="37" t="inlineStr">
        <is>
          <t>4 - Managed</t>
        </is>
      </c>
      <c r="C26" s="17" t="inlineStr">
        <is>
          <t>Roadmap is integrated with organizational security strategy. Progress is tracked with metrics and reported to leadership.</t>
        </is>
      </c>
      <c r="D26" s="17" t="inlineStr">
        <is>
          <t>70-90% of planned work tracked; quarterly roadmap reviews with leadership.</t>
        </is>
      </c>
    </row>
    <row r="27" ht="45" customHeight="1">
      <c r="A27" s="12" t="inlineStr"/>
      <c r="B27" s="36" t="inlineStr">
        <is>
          <t>5 - Optimized</t>
        </is>
      </c>
      <c r="C27" s="12" t="inlineStr">
        <is>
          <t>Dynamic, continuously updated roadmap driven by threat intelligence, gap analysis, and organizational risk priorities.</t>
        </is>
      </c>
      <c r="D27" s="12" t="inlineStr">
        <is>
          <t>90-100% of work tracked; roadmap auto-updated from gap analysis and intel feeds.</t>
        </is>
      </c>
    </row>
    <row r="29">
      <c r="A29" s="34" t="inlineStr">
        <is>
          <t>Threat Modeling</t>
        </is>
      </c>
      <c r="B29" s="35" t="n"/>
      <c r="C29" s="35" t="n"/>
      <c r="D29" s="35" t="n"/>
    </row>
    <row r="30">
      <c r="A30" s="7" t="inlineStr">
        <is>
          <t>Criterion</t>
        </is>
      </c>
      <c r="B30" s="7" t="inlineStr">
        <is>
          <t>Level</t>
        </is>
      </c>
      <c r="C30" s="7" t="inlineStr">
        <is>
          <t>Qualitative Description</t>
        </is>
      </c>
      <c r="D30" s="7" t="inlineStr">
        <is>
          <t>Quantitative Measure</t>
        </is>
      </c>
    </row>
    <row r="31" ht="45" customHeight="1">
      <c r="A31" s="12" t="inlineStr">
        <is>
          <t>Threat Modeling</t>
        </is>
      </c>
      <c r="B31" s="36" t="inlineStr">
        <is>
          <t>1 - Initial</t>
        </is>
      </c>
      <c r="C31" s="12" t="inlineStr">
        <is>
          <t>No threat modeling is performed. Detection rules are not informed by a structured understanding of threats to the organization.</t>
        </is>
      </c>
      <c r="D31" s="12" t="inlineStr">
        <is>
          <t>Zero threat modeling exercises performed.</t>
        </is>
      </c>
    </row>
    <row r="32" ht="45" customHeight="1">
      <c r="A32" s="17" t="inlineStr"/>
      <c r="B32" s="37" t="inlineStr">
        <is>
          <t>2 - Repeatable</t>
        </is>
      </c>
      <c r="C32" s="17" t="inlineStr">
        <is>
          <t>Occasional threat modeling exercises, typically triggered by incidents or major changes. Not regularly scheduled.</t>
        </is>
      </c>
      <c r="D32" s="17" t="inlineStr">
        <is>
          <t>&lt;1 formal threat modeling exercise per year.</t>
        </is>
      </c>
    </row>
    <row r="33" ht="45" customHeight="1">
      <c r="A33" s="12" t="inlineStr"/>
      <c r="B33" s="36" t="inlineStr">
        <is>
          <t>3 - Defined</t>
        </is>
      </c>
      <c r="C33" s="12" t="inlineStr">
        <is>
          <t>Regular threat modeling exercises (at least quarterly) inform detection priorities. Results are documented and fed into the roadmap.</t>
        </is>
      </c>
      <c r="D33" s="12" t="inlineStr">
        <is>
          <t>Quarterly threat modeling exercises; results documented.</t>
        </is>
      </c>
    </row>
    <row r="34" ht="45" customHeight="1">
      <c r="A34" s="17" t="inlineStr"/>
      <c r="B34" s="37" t="inlineStr">
        <is>
          <t>4 - Managed</t>
        </is>
      </c>
      <c r="C34" s="17" t="inlineStr">
        <is>
          <t>Threat modeling is integrated into the detection development lifecycle. New detections are prioritized based on threat model outputs.</t>
        </is>
      </c>
      <c r="D34" s="17" t="inlineStr">
        <is>
          <t>Monthly exercises; &gt;70% of new detections tied to threat model outputs.</t>
        </is>
      </c>
    </row>
    <row r="35" ht="45" customHeight="1">
      <c r="A35" s="12" t="inlineStr"/>
      <c r="B35" s="36" t="inlineStr">
        <is>
          <t>5 - Optimized</t>
        </is>
      </c>
      <c r="C35" s="12" t="inlineStr">
        <is>
          <t>Continuous, proactive threat modeling incorporating real-time threat intelligence, attack surface changes, and emerging TTPs.</t>
        </is>
      </c>
      <c r="D35" s="12" t="inlineStr">
        <is>
          <t>Continuous modeling; real-time integration with threat intel feeds.</t>
        </is>
      </c>
    </row>
    <row r="37" ht="30" customHeight="1">
      <c r="A37" s="32" t="inlineStr">
        <is>
          <t>Basic</t>
        </is>
      </c>
      <c r="B37" s="9" t="n"/>
      <c r="C37" s="9" t="n"/>
      <c r="D37" s="9" t="n"/>
    </row>
    <row r="38">
      <c r="A38" s="33" t="inlineStr">
        <is>
          <t>Establishes baseline detection capabilities with systematic management, version control, and initial alignment with the threat landscape.</t>
        </is>
      </c>
    </row>
    <row r="39">
      <c r="A39" s="34" t="inlineStr">
        <is>
          <t>Baseline Rule Creation</t>
        </is>
      </c>
      <c r="B39" s="35" t="n"/>
      <c r="C39" s="35" t="n"/>
      <c r="D39" s="35" t="n"/>
    </row>
    <row r="40">
      <c r="A40" s="7" t="inlineStr">
        <is>
          <t>Criterion</t>
        </is>
      </c>
      <c r="B40" s="7" t="inlineStr">
        <is>
          <t>Level</t>
        </is>
      </c>
      <c r="C40" s="7" t="inlineStr">
        <is>
          <t>Qualitative Description</t>
        </is>
      </c>
      <c r="D40" s="7" t="inlineStr">
        <is>
          <t>Quantitative Measure</t>
        </is>
      </c>
    </row>
    <row r="41" ht="45" customHeight="1">
      <c r="A41" s="12" t="inlineStr">
        <is>
          <t>Baseline Rule Creation</t>
        </is>
      </c>
      <c r="B41" s="36" t="inlineStr">
        <is>
          <t>1 - Initial</t>
        </is>
      </c>
      <c r="C41" s="12" t="inlineStr">
        <is>
          <t>Few or no baseline detection rules exist. Coverage is minimal and limited to out-of-the-box vendor rules.</t>
        </is>
      </c>
      <c r="D41" s="12" t="inlineStr">
        <is>
          <t>&lt;10 custom baseline rules; minimal ATT&amp;CK technique coverage.</t>
        </is>
      </c>
    </row>
    <row r="42" ht="45" customHeight="1">
      <c r="A42" s="17" t="inlineStr"/>
      <c r="B42" s="37" t="inlineStr">
        <is>
          <t>2 - Repeatable</t>
        </is>
      </c>
      <c r="C42" s="17" t="inlineStr">
        <is>
          <t>A small set of baseline rules covers the most critical threats. Rules are basic signature or IOC-based detections.</t>
        </is>
      </c>
      <c r="D42" s="17" t="inlineStr">
        <is>
          <t>10-30 baseline rules; &lt;30% ATT&amp;CK technique coverage for priority areas.</t>
        </is>
      </c>
    </row>
    <row r="43" ht="45" customHeight="1">
      <c r="A43" s="12" t="inlineStr"/>
      <c r="B43" s="36" t="inlineStr">
        <is>
          <t>3 - Defined</t>
        </is>
      </c>
      <c r="C43" s="12" t="inlineStr">
        <is>
          <t>Baseline rules cover key threat categories with a mix of signature and behavioral detections. Coverage gaps are identified.</t>
        </is>
      </c>
      <c r="D43" s="12" t="inlineStr">
        <is>
          <t>30-60 baseline rules; 30-50% ATT&amp;CK technique coverage with documented gaps.</t>
        </is>
      </c>
    </row>
    <row r="44" ht="45" customHeight="1">
      <c r="A44" s="17" t="inlineStr"/>
      <c r="B44" s="37" t="inlineStr">
        <is>
          <t>4 - Managed</t>
        </is>
      </c>
      <c r="C44" s="17" t="inlineStr">
        <is>
          <t>Comprehensive baseline with behavioral and TTP-focused detections. Rules are tuned per environment and regularly validated.</t>
        </is>
      </c>
      <c r="D44" s="17" t="inlineStr">
        <is>
          <t>60-100 baseline rules; 50-70% ATT&amp;CK technique coverage including behavioral detections; gaps tracked against threat model.</t>
        </is>
      </c>
    </row>
    <row r="45" ht="45" customHeight="1">
      <c r="A45" s="12" t="inlineStr"/>
      <c r="B45" s="36" t="inlineStr">
        <is>
          <t>5 - Optimized</t>
        </is>
      </c>
      <c r="C45" s="12" t="inlineStr">
        <is>
          <t>Continuously refined baseline with full environment-specific tuning. Automated coverage analysis identifies and fills gaps proactively.</t>
        </is>
      </c>
      <c r="D45" s="12" t="inlineStr">
        <is>
          <t>100+ baseline rules; &gt;70% ATT&amp;CK technique coverage; continuous gap analysis and automated coverage tracking.</t>
        </is>
      </c>
    </row>
    <row r="47">
      <c r="A47" s="34" t="inlineStr">
        <is>
          <t>Ruleset Management and Maintenance</t>
        </is>
      </c>
      <c r="B47" s="35" t="n"/>
      <c r="C47" s="35" t="n"/>
      <c r="D47" s="35" t="n"/>
    </row>
    <row r="48">
      <c r="A48" s="7" t="inlineStr">
        <is>
          <t>Criterion</t>
        </is>
      </c>
      <c r="B48" s="7" t="inlineStr">
        <is>
          <t>Level</t>
        </is>
      </c>
      <c r="C48" s="7" t="inlineStr">
        <is>
          <t>Qualitative Description</t>
        </is>
      </c>
      <c r="D48" s="7" t="inlineStr">
        <is>
          <t>Quantitative Measure</t>
        </is>
      </c>
    </row>
    <row r="49" ht="45" customHeight="1">
      <c r="A49" s="12" t="inlineStr">
        <is>
          <t>Ruleset Management and Maintenance</t>
        </is>
      </c>
      <c r="B49" s="36" t="inlineStr">
        <is>
          <t>1 - Initial</t>
        </is>
      </c>
      <c r="C49" s="12" t="inlineStr">
        <is>
          <t>No formal rule management. Rules live in the SIEM with no version control, change tracking, or documentation.</t>
        </is>
      </c>
      <c r="D49" s="12" t="inlineStr">
        <is>
          <t>&lt;20% of rules under version control.</t>
        </is>
      </c>
    </row>
    <row r="50" ht="45" customHeight="1">
      <c r="A50" s="17" t="inlineStr"/>
      <c r="B50" s="37" t="inlineStr">
        <is>
          <t>2 - Repeatable</t>
        </is>
      </c>
      <c r="C50" s="17" t="inlineStr">
        <is>
          <t>Some rules are stored in version control. Basic documentation exists for some detections but is incomplete.</t>
        </is>
      </c>
      <c r="D50" s="17" t="inlineStr">
        <is>
          <t>20-50% of rules in version control; basic documentation.</t>
        </is>
      </c>
    </row>
    <row r="51" ht="45" customHeight="1">
      <c r="A51" s="12" t="inlineStr"/>
      <c r="B51" s="36" t="inlineStr">
        <is>
          <t>3 - Defined</t>
        </is>
      </c>
      <c r="C51" s="12" t="inlineStr">
        <is>
          <t>Most rules are managed in version control with documentation standards. A detection-as-code approach is being adopted.</t>
        </is>
      </c>
      <c r="D51" s="12" t="inlineStr">
        <is>
          <t>50-80% of rules in version control with documentation.</t>
        </is>
      </c>
    </row>
    <row r="52" ht="45" customHeight="1">
      <c r="A52" s="17" t="inlineStr"/>
      <c r="B52" s="37" t="inlineStr">
        <is>
          <t>4 - Managed</t>
        </is>
      </c>
      <c r="C52" s="17" t="inlineStr">
        <is>
          <t>Detection-as-code is standard practice. CI/CD pipelines handle rule deployment. All rules are documented and version-controlled.</t>
        </is>
      </c>
      <c r="D52" s="17" t="inlineStr">
        <is>
          <t>80-90% of rules in DaC pipeline; automated deployment.</t>
        </is>
      </c>
    </row>
    <row r="53" ht="45" customHeight="1">
      <c r="A53" s="12" t="inlineStr"/>
      <c r="B53" s="36" t="inlineStr">
        <is>
          <t>5 - Optimized</t>
        </is>
      </c>
      <c r="C53" s="12" t="inlineStr">
        <is>
          <t>Fully automated rule lifecycle with CI/CD, automated testing, continuous validation, and weekly maintenance cycles.</t>
        </is>
      </c>
      <c r="D53" s="12" t="inlineStr">
        <is>
          <t>100% DaC; automated testing and deployment; weekly validation cycles.</t>
        </is>
      </c>
    </row>
    <row r="55">
      <c r="A55" s="34" t="inlineStr">
        <is>
          <t>Telemetry Quality</t>
        </is>
      </c>
      <c r="B55" s="35" t="n"/>
      <c r="C55" s="35" t="n"/>
      <c r="D55" s="35" t="n"/>
    </row>
    <row r="56">
      <c r="A56" s="7" t="inlineStr">
        <is>
          <t>Criterion</t>
        </is>
      </c>
      <c r="B56" s="7" t="inlineStr">
        <is>
          <t>Level</t>
        </is>
      </c>
      <c r="C56" s="7" t="inlineStr">
        <is>
          <t>Qualitative Description</t>
        </is>
      </c>
      <c r="D56" s="7" t="inlineStr">
        <is>
          <t>Quantitative Measure</t>
        </is>
      </c>
    </row>
    <row r="57" ht="45" customHeight="1">
      <c r="A57" s="12" t="inlineStr">
        <is>
          <t>Telemetry Quality</t>
        </is>
      </c>
      <c r="B57" s="36" t="inlineStr">
        <is>
          <t>1 - Initial</t>
        </is>
      </c>
      <c r="C57" s="12" t="inlineStr">
        <is>
          <t>No active management of telemetry quality. Data sources are whatever happens to be available without assessment of completeness.</t>
        </is>
      </c>
      <c r="D57" s="12" t="inlineStr">
        <is>
          <t>&lt;30% of rule types have adequate telemetry producing expected data.</t>
        </is>
      </c>
    </row>
    <row r="58" ht="45" customHeight="1">
      <c r="A58" s="17" t="inlineStr"/>
      <c r="B58" s="37" t="inlineStr">
        <is>
          <t>2 - Repeatable</t>
        </is>
      </c>
      <c r="C58" s="17" t="inlineStr">
        <is>
          <t>Some awareness of telemetry gaps. Basic checks ensure critical data sources are ingesting, but no formal quality program.</t>
        </is>
      </c>
      <c r="D58" s="17" t="inlineStr">
        <is>
          <t>30-50% of rule types have adequate telemetry; basic health checks.</t>
        </is>
      </c>
    </row>
    <row r="59" ht="45" customHeight="1">
      <c r="A59" s="12" t="inlineStr"/>
      <c r="B59" s="36" t="inlineStr">
        <is>
          <t>3 - Defined</t>
        </is>
      </c>
      <c r="C59" s="12" t="inlineStr">
        <is>
          <t>Telemetry quality is actively monitored. Data source coverage is mapped to detection needs. CTI enrichment is being integrated.</t>
        </is>
      </c>
      <c r="D59" s="12" t="inlineStr">
        <is>
          <t>50-70% telemetry coverage; CTI integration beginning.</t>
        </is>
      </c>
    </row>
    <row r="60" ht="45" customHeight="1">
      <c r="A60" s="17" t="inlineStr"/>
      <c r="B60" s="37" t="inlineStr">
        <is>
          <t>4 - Managed</t>
        </is>
      </c>
      <c r="C60" s="17" t="inlineStr">
        <is>
          <t>Comprehensive telemetry management with automated health monitoring, CTI enrichment, and proactive gap identification.</t>
        </is>
      </c>
      <c r="D60" s="17" t="inlineStr">
        <is>
          <t>70-90% telemetry coverage; automated health monitoring; CTI integrated.</t>
        </is>
      </c>
    </row>
    <row r="61" ht="45" customHeight="1">
      <c r="A61" s="12" t="inlineStr"/>
      <c r="B61" s="36" t="inlineStr">
        <is>
          <t>5 - Optimized</t>
        </is>
      </c>
      <c r="C61" s="12" t="inlineStr">
        <is>
          <t>Advanced telemetry workflows with real-time enrichment, automated responses to telemetry degradation, and full CTI integration.</t>
        </is>
      </c>
      <c r="D61" s="12" t="inlineStr">
        <is>
          <t>90-100% coverage; real-time enrichment; automated remediation of gaps.</t>
        </is>
      </c>
    </row>
    <row r="63">
      <c r="A63" s="34" t="inlineStr">
        <is>
          <t>Threat Landscape Review</t>
        </is>
      </c>
      <c r="B63" s="35" t="n"/>
      <c r="C63" s="35" t="n"/>
      <c r="D63" s="35" t="n"/>
    </row>
    <row r="64">
      <c r="A64" s="7" t="inlineStr">
        <is>
          <t>Criterion</t>
        </is>
      </c>
      <c r="B64" s="7" t="inlineStr">
        <is>
          <t>Level</t>
        </is>
      </c>
      <c r="C64" s="7" t="inlineStr">
        <is>
          <t>Qualitative Description</t>
        </is>
      </c>
      <c r="D64" s="7" t="inlineStr">
        <is>
          <t>Quantitative Measure</t>
        </is>
      </c>
    </row>
    <row r="65" ht="45" customHeight="1">
      <c r="A65" s="12" t="inlineStr">
        <is>
          <t>Threat Landscape Review</t>
        </is>
      </c>
      <c r="B65" s="36" t="inlineStr">
        <is>
          <t>1 - Initial</t>
        </is>
      </c>
      <c r="C65" s="12" t="inlineStr">
        <is>
          <t>No regular review of the threat landscape. Detection priorities are not informed by current threats.</t>
        </is>
      </c>
      <c r="D65" s="12" t="inlineStr">
        <is>
          <t>No scheduled reviews; &lt;30% of rules aligned to current threats.</t>
        </is>
      </c>
    </row>
    <row r="66" ht="45" customHeight="1">
      <c r="A66" s="17" t="inlineStr"/>
      <c r="B66" s="37" t="inlineStr">
        <is>
          <t>2 - Repeatable</t>
        </is>
      </c>
      <c r="C66" s="17" t="inlineStr">
        <is>
          <t>Bi-annual or annual reviews of the threat landscape. Some detection priorities are updated based on major threat changes.</t>
        </is>
      </c>
      <c r="D66" s="17" t="inlineStr">
        <is>
          <t>1-2 reviews per year; some rule updates based on findings.</t>
        </is>
      </c>
    </row>
    <row r="67" ht="45" customHeight="1">
      <c r="A67" s="12" t="inlineStr"/>
      <c r="B67" s="36" t="inlineStr">
        <is>
          <t>3 - Defined</t>
        </is>
      </c>
      <c r="C67" s="12" t="inlineStr">
        <is>
          <t>Quarterly threat landscape reviews with documented findings. Detection roadmap is updated based on review outcomes.</t>
        </is>
      </c>
      <c r="D67" s="12" t="inlineStr">
        <is>
          <t>Quarterly reviews; 50-70% of rules reviewed against current threats.</t>
        </is>
      </c>
    </row>
    <row r="68" ht="45" customHeight="1">
      <c r="A68" s="17" t="inlineStr"/>
      <c r="B68" s="37" t="inlineStr">
        <is>
          <t>4 - Managed</t>
        </is>
      </c>
      <c r="C68" s="17" t="inlineStr">
        <is>
          <t>Monthly threat landscape reviews integrated with threat intelligence. Detection priorities are continuously aligned with emerging threats.</t>
        </is>
      </c>
      <c r="D68" s="17" t="inlineStr">
        <is>
          <t>Monthly reviews; 70-90% rules aligned; automated intel integration.</t>
        </is>
      </c>
    </row>
    <row r="69" ht="45" customHeight="1">
      <c r="A69" s="12" t="inlineStr"/>
      <c r="B69" s="36" t="inlineStr">
        <is>
          <t>5 - Optimized</t>
        </is>
      </c>
      <c r="C69" s="12" t="inlineStr">
        <is>
          <t>Real-time threat landscape monitoring with automated intelligence feeds driving detection priority updates.</t>
        </is>
      </c>
      <c r="D69" s="12" t="inlineStr">
        <is>
          <t>Continuous monitoring; 90-100% alignment; automated priority updates.</t>
        </is>
      </c>
    </row>
    <row r="71">
      <c r="A71" s="34" t="inlineStr">
        <is>
          <t>Product Owner Engagement</t>
        </is>
      </c>
      <c r="B71" s="35" t="n"/>
      <c r="C71" s="35" t="n"/>
      <c r="D71" s="35" t="n"/>
    </row>
    <row r="72">
      <c r="A72" s="7" t="inlineStr">
        <is>
          <t>Criterion</t>
        </is>
      </c>
      <c r="B72" s="7" t="inlineStr">
        <is>
          <t>Level</t>
        </is>
      </c>
      <c r="C72" s="7" t="inlineStr">
        <is>
          <t>Qualitative Description</t>
        </is>
      </c>
      <c r="D72" s="7" t="inlineStr">
        <is>
          <t>Quantitative Measure</t>
        </is>
      </c>
    </row>
    <row r="73" ht="45" customHeight="1">
      <c r="A73" s="12" t="inlineStr">
        <is>
          <t>Product Owner Engagement</t>
        </is>
      </c>
      <c r="B73" s="36" t="inlineStr">
        <is>
          <t>1 - Initial</t>
        </is>
      </c>
      <c r="C73" s="12" t="inlineStr">
        <is>
          <t>No engagement between detection engineering and product/platform owners. Detection needs are not communicated to tool vendors or platform teams.</t>
        </is>
      </c>
      <c r="D73" s="12" t="inlineStr">
        <is>
          <t>Zero structured engagements with product owners.</t>
        </is>
      </c>
    </row>
    <row r="74" ht="45" customHeight="1">
      <c r="A74" s="17" t="inlineStr"/>
      <c r="B74" s="37" t="inlineStr">
        <is>
          <t>2 - Repeatable</t>
        </is>
      </c>
      <c r="C74" s="17" t="inlineStr">
        <is>
          <t>Occasional ad hoc engagement with product owners, typically reactive to issues or gaps discovered during detection development.</t>
        </is>
      </c>
      <c r="D74" s="17" t="inlineStr">
        <is>
          <t>1-2 engagements per quarter; reactive only.</t>
        </is>
      </c>
    </row>
    <row r="75" ht="45" customHeight="1">
      <c r="A75" s="12" t="inlineStr"/>
      <c r="B75" s="36" t="inlineStr">
        <is>
          <t>3 - Defined</t>
        </is>
      </c>
      <c r="C75" s="12" t="inlineStr">
        <is>
          <t>Regular engagement with product owners to communicate detection needs, request features, and provide feedback on platform capabilities.</t>
        </is>
      </c>
      <c r="D75" s="12" t="inlineStr">
        <is>
          <t>Quarterly structured engagements; feature requests tracked.</t>
        </is>
      </c>
    </row>
    <row r="76" ht="45" customHeight="1">
      <c r="A76" s="17" t="inlineStr"/>
      <c r="B76" s="37" t="inlineStr">
        <is>
          <t>4 - Managed</t>
        </is>
      </c>
      <c r="C76" s="17" t="inlineStr">
        <is>
          <t>Proactive partnership with product owners. Detection requirements are integrated into product roadmaps. Regular feedback loops established.</t>
        </is>
      </c>
      <c r="D76" s="17" t="inlineStr">
        <is>
          <t>Monthly engagements; &gt;50% of feature requests on product roadmap.</t>
        </is>
      </c>
    </row>
    <row r="77" ht="45" customHeight="1">
      <c r="A77" s="12" t="inlineStr"/>
      <c r="B77" s="36" t="inlineStr">
        <is>
          <t>5 - Optimized</t>
        </is>
      </c>
      <c r="C77" s="12" t="inlineStr">
        <is>
          <t>Continuous, proactive engagement. Detection needs directly influence product development. Joint planning and shared success metrics.</t>
        </is>
      </c>
      <c r="D77" s="12" t="inlineStr">
        <is>
          <t>&gt;90% of detection requirements reflected in product roadmap changes.</t>
        </is>
      </c>
    </row>
    <row r="79">
      <c r="A79" s="34" t="inlineStr">
        <is>
          <t>Release Testing and Validation</t>
        </is>
      </c>
      <c r="B79" s="35" t="n"/>
      <c r="C79" s="35" t="n"/>
      <c r="D79" s="35" t="n"/>
    </row>
    <row r="80">
      <c r="A80" s="7" t="inlineStr">
        <is>
          <t>Criterion</t>
        </is>
      </c>
      <c r="B80" s="7" t="inlineStr">
        <is>
          <t>Level</t>
        </is>
      </c>
      <c r="C80" s="7" t="inlineStr">
        <is>
          <t>Qualitative Description</t>
        </is>
      </c>
      <c r="D80" s="7" t="inlineStr">
        <is>
          <t>Quantitative Measure</t>
        </is>
      </c>
    </row>
    <row r="81" ht="45" customHeight="1">
      <c r="A81" s="12" t="inlineStr">
        <is>
          <t>Release Testing and Validation</t>
        </is>
      </c>
      <c r="B81" s="36" t="inlineStr">
        <is>
          <t>1 - Initial</t>
        </is>
      </c>
      <c r="C81" s="12" t="inlineStr">
        <is>
          <t>No formal testing before rule deployment. Rules are pushed to production without validation.</t>
        </is>
      </c>
      <c r="D81" s="12" t="inlineStr">
        <is>
          <t>&lt;20% of rules tested before deployment.</t>
        </is>
      </c>
    </row>
    <row r="82" ht="45" customHeight="1">
      <c r="A82" s="17" t="inlineStr"/>
      <c r="B82" s="37" t="inlineStr">
        <is>
          <t>2 - Repeatable</t>
        </is>
      </c>
      <c r="C82" s="17" t="inlineStr">
        <is>
          <t>Basic manual testing on some rules before deployment. No standardized testing process or test environments.</t>
        </is>
      </c>
      <c r="D82" s="17" t="inlineStr">
        <is>
          <t>20-40% of rules tested; manual testing only.</t>
        </is>
      </c>
    </row>
    <row r="83" ht="45" customHeight="1">
      <c r="A83" s="12" t="inlineStr"/>
      <c r="B83" s="36" t="inlineStr">
        <is>
          <t>3 - Defined</t>
        </is>
      </c>
      <c r="C83" s="12" t="inlineStr">
        <is>
          <t>Standardized testing process with defined test cases. Most rules are tested before deployment in a staging environment.</t>
        </is>
      </c>
      <c r="D83" s="12" t="inlineStr">
        <is>
          <t>50-70% of rules tested; staging environment available.</t>
        </is>
      </c>
    </row>
    <row r="84" ht="45" customHeight="1">
      <c r="A84" s="17" t="inlineStr"/>
      <c r="B84" s="37" t="inlineStr">
        <is>
          <t>4 - Managed</t>
        </is>
      </c>
      <c r="C84" s="17" t="inlineStr">
        <is>
          <t>Comprehensive testing including unit tests, integration tests, and emulation-based validation. Rapid deployment capability for emerging threats.</t>
        </is>
      </c>
      <c r="D84" s="17" t="inlineStr">
        <is>
          <t>70-90% automated testing; 24-hour deployment capability for critical threats.</t>
        </is>
      </c>
    </row>
    <row r="85" ht="45" customHeight="1">
      <c r="A85" s="12" t="inlineStr"/>
      <c r="B85" s="36" t="inlineStr">
        <is>
          <t>5 - Optimized</t>
        </is>
      </c>
      <c r="C85" s="12" t="inlineStr">
        <is>
          <t>Continuous, automated testing with real-time feedback. Full CI/CD pipeline with automated validation before every deployment.</t>
        </is>
      </c>
      <c r="D85" s="12" t="inlineStr">
        <is>
          <t>90-100% automated testing; continuous validation in CI/CD pipeline.</t>
        </is>
      </c>
    </row>
    <row r="87" ht="30" customHeight="1">
      <c r="A87" s="32" t="inlineStr">
        <is>
          <t>Intermediate</t>
        </is>
      </c>
      <c r="B87" s="9" t="n"/>
      <c r="C87" s="9" t="n"/>
      <c r="D87" s="9" t="n"/>
    </row>
    <row r="88">
      <c r="A88" s="33" t="inlineStr">
        <is>
          <t>Focuses on improving detection quality through tuning, gap analysis, and systematic internal validation.</t>
        </is>
      </c>
    </row>
    <row r="89">
      <c r="A89" s="34" t="inlineStr">
        <is>
          <t>False Positive Tuning and Reduction</t>
        </is>
      </c>
      <c r="B89" s="35" t="n"/>
      <c r="C89" s="35" t="n"/>
      <c r="D89" s="35" t="n"/>
    </row>
    <row r="90">
      <c r="A90" s="7" t="inlineStr">
        <is>
          <t>Criterion</t>
        </is>
      </c>
      <c r="B90" s="7" t="inlineStr">
        <is>
          <t>Level</t>
        </is>
      </c>
      <c r="C90" s="7" t="inlineStr">
        <is>
          <t>Qualitative Description</t>
        </is>
      </c>
      <c r="D90" s="7" t="inlineStr">
        <is>
          <t>Quantitative Measure</t>
        </is>
      </c>
    </row>
    <row r="91" ht="45" customHeight="1">
      <c r="A91" s="12" t="inlineStr">
        <is>
          <t>False Positive Tuning and Reduction</t>
        </is>
      </c>
      <c r="B91" s="36" t="inlineStr">
        <is>
          <t>1 - Initial</t>
        </is>
      </c>
      <c r="C91" s="12" t="inlineStr">
        <is>
          <t>Minimal or no tuning of detection rules. High false positive rates accepted as normal, contributing to alert fatigue.</t>
        </is>
      </c>
      <c r="D91" s="12" t="inlineStr">
        <is>
          <t>No measurable FP reduction efforts.</t>
        </is>
      </c>
    </row>
    <row r="92" ht="45" customHeight="1">
      <c r="A92" s="17" t="inlineStr"/>
      <c r="B92" s="37" t="inlineStr">
        <is>
          <t>2 - Repeatable</t>
        </is>
      </c>
      <c r="C92" s="17" t="inlineStr">
        <is>
          <t>Some tuning performed reactively when analysts complain. No systematic tracking of false positive rates.</t>
        </is>
      </c>
      <c r="D92" s="17" t="inlineStr">
        <is>
          <t>10-25% FP reduction from initial baseline; sporadic tuning.</t>
        </is>
      </c>
    </row>
    <row r="93" ht="45" customHeight="1">
      <c r="A93" s="12" t="inlineStr"/>
      <c r="B93" s="36" t="inlineStr">
        <is>
          <t>3 - Defined</t>
        </is>
      </c>
      <c r="C93" s="12" t="inlineStr">
        <is>
          <t>Regular tuning cycles with tracked FP rates per rule. Tuning is documented and follows a defined process.</t>
        </is>
      </c>
      <c r="D93" s="12" t="inlineStr">
        <is>
          <t>25-50% FP reduction; quarterly tuning cycles; FP rates tracked per rule.</t>
        </is>
      </c>
    </row>
    <row r="94" ht="45" customHeight="1">
      <c r="A94" s="17" t="inlineStr"/>
      <c r="B94" s="37" t="inlineStr">
        <is>
          <t>4 - Managed</t>
        </is>
      </c>
      <c r="C94" s="17" t="inlineStr">
        <is>
          <t>Comprehensive FP management with automated tuning suggestions, risk-based alert scoring, and continuous monitoring.</t>
        </is>
      </c>
      <c r="D94" s="17" t="inlineStr">
        <is>
          <t>&gt;50% FP reduction; automated tuning recommendations; risk-based scoring.</t>
        </is>
      </c>
    </row>
    <row r="95" ht="45" customHeight="1">
      <c r="A95" s="12" t="inlineStr"/>
      <c r="B95" s="36" t="inlineStr">
        <is>
          <t>5 - Optimized</t>
        </is>
      </c>
      <c r="C95" s="12" t="inlineStr">
        <is>
          <t>Automated and dynamic tuning with machine learning. Near-zero unnecessary alert noise. Continuous optimization.</t>
        </is>
      </c>
      <c r="D95" s="12" t="inlineStr">
        <is>
          <t>&gt;75% FP reduction from baseline; ML-assisted tuning; continuous optimization.</t>
        </is>
      </c>
    </row>
    <row r="97">
      <c r="A97" s="34" t="inlineStr">
        <is>
          <t>Gap Analysis and Documentation</t>
        </is>
      </c>
      <c r="B97" s="35" t="n"/>
      <c r="C97" s="35" t="n"/>
      <c r="D97" s="35" t="n"/>
    </row>
    <row r="98">
      <c r="A98" s="7" t="inlineStr">
        <is>
          <t>Criterion</t>
        </is>
      </c>
      <c r="B98" s="7" t="inlineStr">
        <is>
          <t>Level</t>
        </is>
      </c>
      <c r="C98" s="7" t="inlineStr">
        <is>
          <t>Qualitative Description</t>
        </is>
      </c>
      <c r="D98" s="7" t="inlineStr">
        <is>
          <t>Quantitative Measure</t>
        </is>
      </c>
    </row>
    <row r="99" ht="45" customHeight="1">
      <c r="A99" s="12" t="inlineStr">
        <is>
          <t>Gap Analysis and Documentation</t>
        </is>
      </c>
      <c r="B99" s="36" t="inlineStr">
        <is>
          <t>1 - Initial</t>
        </is>
      </c>
      <c r="C99" s="12" t="inlineStr">
        <is>
          <t>No gap analysis performed. Detection coverage gaps are unknown and undocumented.</t>
        </is>
      </c>
      <c r="D99" s="12" t="inlineStr">
        <is>
          <t>Zero gaps formally documented.</t>
        </is>
      </c>
    </row>
    <row r="100" ht="45" customHeight="1">
      <c r="A100" s="17" t="inlineStr"/>
      <c r="B100" s="37" t="inlineStr">
        <is>
          <t>2 - Repeatable</t>
        </is>
      </c>
      <c r="C100" s="17" t="inlineStr">
        <is>
          <t>Some gaps identified informally, typically after incidents expose missing detections. Documentation is inconsistent.</t>
        </is>
      </c>
      <c r="D100" s="17" t="inlineStr">
        <is>
          <t>1-3 gaps documented; reactive identification only.</t>
        </is>
      </c>
    </row>
    <row r="101" ht="45" customHeight="1">
      <c r="A101" s="12" t="inlineStr"/>
      <c r="B101" s="36" t="inlineStr">
        <is>
          <t>3 - Defined</t>
        </is>
      </c>
      <c r="C101" s="12" t="inlineStr">
        <is>
          <t>Regular gap analysis performed against ATT&amp;CK or similar frameworks. Gaps are documented, prioritized, and communicated to stakeholders.</t>
        </is>
      </c>
      <c r="D101" s="12" t="inlineStr">
        <is>
          <t>5+ gaps documented quarterly; prioritized against threat model.</t>
        </is>
      </c>
    </row>
    <row r="102" ht="45" customHeight="1">
      <c r="A102" s="17" t="inlineStr"/>
      <c r="B102" s="37" t="inlineStr">
        <is>
          <t>4 - Managed</t>
        </is>
      </c>
      <c r="C102" s="17" t="inlineStr">
        <is>
          <t>Comprehensive gap analysis integrated with threat modeling and risk assessment. Gaps drive the detection roadmap.</t>
        </is>
      </c>
      <c r="D102" s="17" t="inlineStr">
        <is>
          <t>Continuous gap tracking; gaps integrated into roadmap; stakeholder reporting.</t>
        </is>
      </c>
    </row>
    <row r="103" ht="45" customHeight="1">
      <c r="A103" s="12" t="inlineStr"/>
      <c r="B103" s="36" t="inlineStr">
        <is>
          <t>5 - Optimized</t>
        </is>
      </c>
      <c r="C103" s="12" t="inlineStr">
        <is>
          <t>Automated gap analysis using advanced analytics. Real-time coverage mapping with automated prioritization.</t>
        </is>
      </c>
      <c r="D103" s="12" t="inlineStr">
        <is>
          <t>Automated continuous gap analysis; real-time coverage dashboards.</t>
        </is>
      </c>
    </row>
    <row r="105">
      <c r="A105" s="34" t="inlineStr">
        <is>
          <t>Internal Testing and Validation</t>
        </is>
      </c>
      <c r="B105" s="35" t="n"/>
      <c r="C105" s="35" t="n"/>
      <c r="D105" s="35" t="n"/>
    </row>
    <row r="106">
      <c r="A106" s="7" t="inlineStr">
        <is>
          <t>Criterion</t>
        </is>
      </c>
      <c r="B106" s="7" t="inlineStr">
        <is>
          <t>Level</t>
        </is>
      </c>
      <c r="C106" s="7" t="inlineStr">
        <is>
          <t>Qualitative Description</t>
        </is>
      </c>
      <c r="D106" s="7" t="inlineStr">
        <is>
          <t>Quantitative Measure</t>
        </is>
      </c>
    </row>
    <row r="107" ht="45" customHeight="1">
      <c r="A107" s="12" t="inlineStr">
        <is>
          <t>Internal Testing and Validation</t>
        </is>
      </c>
      <c r="B107" s="36" t="inlineStr">
        <is>
          <t>1 - Initial</t>
        </is>
      </c>
      <c r="C107" s="12" t="inlineStr">
        <is>
          <t>No internal testing of detection effectiveness. Rules are assumed to work once deployed.</t>
        </is>
      </c>
      <c r="D107" s="12" t="inlineStr">
        <is>
          <t>Zero internal testing activities.</t>
        </is>
      </c>
    </row>
    <row r="108" ht="45" customHeight="1">
      <c r="A108" s="17" t="inlineStr"/>
      <c r="B108" s="37" t="inlineStr">
        <is>
          <t>2 - Repeatable</t>
        </is>
      </c>
      <c r="C108" s="17" t="inlineStr">
        <is>
          <t>Occasional manual testing of high-priority rules. Basic atomic tests run sporadically.</t>
        </is>
      </c>
      <c r="D108" s="17" t="inlineStr">
        <is>
          <t>&lt;40% emulation coverage; sporadic testing.</t>
        </is>
      </c>
    </row>
    <row r="109" ht="45" customHeight="1">
      <c r="A109" s="12" t="inlineStr"/>
      <c r="B109" s="36" t="inlineStr">
        <is>
          <t>3 - Defined</t>
        </is>
      </c>
      <c r="C109" s="12" t="inlineStr">
        <is>
          <t>Regular testing program with attack emulation (e.g., Atomic Red Team, Caldera) covering major detection categories. Results documented and tracked.</t>
        </is>
      </c>
      <c r="D109" s="12" t="inlineStr">
        <is>
          <t>40-70% emulation coverage; at least quarterly testing cycles.</t>
        </is>
      </c>
    </row>
    <row r="110" ht="45" customHeight="1">
      <c r="A110" s="17" t="inlineStr"/>
      <c r="B110" s="37" t="inlineStr">
        <is>
          <t>4 - Managed</t>
        </is>
      </c>
      <c r="C110" s="17" t="inlineStr">
        <is>
          <t>Comprehensive internal testing with automated attack emulation, purple team exercises, and continuous validation.</t>
        </is>
      </c>
      <c r="D110" s="17" t="inlineStr">
        <is>
          <t>70-90% automated emulation coverage; regular purple team exercises.</t>
        </is>
      </c>
    </row>
    <row r="111" ht="45" customHeight="1">
      <c r="A111" s="12" t="inlineStr"/>
      <c r="B111" s="36" t="inlineStr">
        <is>
          <t>5 - Optimized</t>
        </is>
      </c>
      <c r="C111" s="12" t="inlineStr">
        <is>
          <t>Continuous automated testing with real-time validation. Full emulation coverage with automated regression testing on every rule change.</t>
        </is>
      </c>
      <c r="D111" s="12" t="inlineStr">
        <is>
          <t>&gt;90% automated coverage; continuous validation; automated regression on every change.</t>
        </is>
      </c>
    </row>
    <row r="113" ht="30" customHeight="1">
      <c r="A113" s="32" t="inlineStr">
        <is>
          <t>Advanced</t>
        </is>
      </c>
      <c r="B113" s="9" t="n"/>
      <c r="C113" s="9" t="n"/>
      <c r="D113" s="9" t="n"/>
    </row>
    <row r="114">
      <c r="A114" s="33" t="inlineStr">
        <is>
          <t>Addresses false negatives, external validation, and advanced threat coverage to ensure detections catch real attacks.</t>
        </is>
      </c>
    </row>
    <row r="115">
      <c r="A115" s="34" t="inlineStr">
        <is>
          <t>False Negative Triage</t>
        </is>
      </c>
      <c r="B115" s="35" t="n"/>
      <c r="C115" s="35" t="n"/>
      <c r="D115" s="35" t="n"/>
    </row>
    <row r="116">
      <c r="A116" s="7" t="inlineStr">
        <is>
          <t>Criterion</t>
        </is>
      </c>
      <c r="B116" s="7" t="inlineStr">
        <is>
          <t>Level</t>
        </is>
      </c>
      <c r="C116" s="7" t="inlineStr">
        <is>
          <t>Qualitative Description</t>
        </is>
      </c>
      <c r="D116" s="7" t="inlineStr">
        <is>
          <t>Quantitative Measure</t>
        </is>
      </c>
    </row>
    <row r="117" ht="45" customHeight="1">
      <c r="A117" s="12" t="inlineStr">
        <is>
          <t>False Negative Triage</t>
        </is>
      </c>
      <c r="B117" s="36" t="inlineStr">
        <is>
          <t>1 - Initial</t>
        </is>
      </c>
      <c r="C117" s="12" t="inlineStr">
        <is>
          <t>No process for identifying or triaging false negatives. Missed detections are only discovered during incident response.</t>
        </is>
      </c>
      <c r="D117" s="12" t="inlineStr">
        <is>
          <t>Zero FN reduction activities.</t>
        </is>
      </c>
    </row>
    <row r="118" ht="45" customHeight="1">
      <c r="A118" s="17" t="inlineStr"/>
      <c r="B118" s="37" t="inlineStr">
        <is>
          <t>2 - Repeatable</t>
        </is>
      </c>
      <c r="C118" s="17" t="inlineStr">
        <is>
          <t>Some false negatives identified through post-incident reviews. Basic tracking of missed detections.</t>
        </is>
      </c>
      <c r="D118" s="17" t="inlineStr">
        <is>
          <t>50% of tested samples trigger expected alerts.</t>
        </is>
      </c>
    </row>
    <row r="119" ht="45" customHeight="1">
      <c r="A119" s="12" t="inlineStr"/>
      <c r="B119" s="36" t="inlineStr">
        <is>
          <t>3 - Defined</t>
        </is>
      </c>
      <c r="C119" s="12" t="inlineStr">
        <is>
          <t>Systematic false negative identification through regular testing and validation exercises. Root causes are analyzed and documented.</t>
        </is>
      </c>
      <c r="D119" s="12" t="inlineStr">
        <is>
          <t>70-90% of tested samples trigger alerts; root cause analysis documented; 30-50% FN reduction from baseline.</t>
        </is>
      </c>
    </row>
    <row r="120" ht="45" customHeight="1">
      <c r="A120" s="17" t="inlineStr"/>
      <c r="B120" s="37" t="inlineStr">
        <is>
          <t>4 - Managed</t>
        </is>
      </c>
      <c r="C120" s="17" t="inlineStr">
        <is>
          <t>Comprehensive FN management with automated detection validation, coverage testing, and rapid remediation processes.</t>
        </is>
      </c>
      <c r="D120" s="17" t="inlineStr">
        <is>
          <t>90-100% of tested samples trigger alerts; automated validation; &gt;50% FN reduction.</t>
        </is>
      </c>
    </row>
    <row r="121" ht="45" customHeight="1">
      <c r="A121" s="12" t="inlineStr"/>
      <c r="B121" s="36" t="inlineStr">
        <is>
          <t>5 - Optimized</t>
        </is>
      </c>
      <c r="C121" s="12" t="inlineStr">
        <is>
          <t>Continuous, automated false negative detection using advanced analytics and real-time validation against live threats.</t>
        </is>
      </c>
      <c r="D121" s="12" t="inlineStr">
        <is>
          <t>Continuous validation; near-zero FN rate on tested scenarios; &gt;75% FN reduction.</t>
        </is>
      </c>
    </row>
    <row r="123">
      <c r="A123" s="34" t="inlineStr">
        <is>
          <t>External Validation</t>
        </is>
      </c>
      <c r="B123" s="35" t="n"/>
      <c r="C123" s="35" t="n"/>
      <c r="D123" s="35" t="n"/>
    </row>
    <row r="124">
      <c r="A124" s="7" t="inlineStr">
        <is>
          <t>Criterion</t>
        </is>
      </c>
      <c r="B124" s="7" t="inlineStr">
        <is>
          <t>Level</t>
        </is>
      </c>
      <c r="C124" s="7" t="inlineStr">
        <is>
          <t>Qualitative Description</t>
        </is>
      </c>
      <c r="D124" s="7" t="inlineStr">
        <is>
          <t>Quantitative Measure</t>
        </is>
      </c>
    </row>
    <row r="125" ht="45" customHeight="1">
      <c r="A125" s="12" t="inlineStr">
        <is>
          <t>External Validation</t>
        </is>
      </c>
      <c r="B125" s="36" t="inlineStr">
        <is>
          <t>1 - Initial</t>
        </is>
      </c>
      <c r="C125" s="12" t="inlineStr">
        <is>
          <t>No external validation of detection capabilities. No red team, penetration testing, or third-party assessment of detections.</t>
        </is>
      </c>
      <c r="D125" s="12" t="inlineStr">
        <is>
          <t>Zero external validation exercises.</t>
        </is>
      </c>
    </row>
    <row r="126" ht="45" customHeight="1">
      <c r="A126" s="17" t="inlineStr"/>
      <c r="B126" s="37" t="inlineStr">
        <is>
          <t>2 - Repeatable</t>
        </is>
      </c>
      <c r="C126" s="17" t="inlineStr">
        <is>
          <t>Occasional external validation, typically annual penetration tests with some detection assessment included.</t>
        </is>
      </c>
      <c r="D126" s="17" t="inlineStr">
        <is>
          <t>1 external validation exercise per year.</t>
        </is>
      </c>
    </row>
    <row r="127" ht="45" customHeight="1">
      <c r="A127" s="12" t="inlineStr"/>
      <c r="B127" s="36" t="inlineStr">
        <is>
          <t>3 - Defined</t>
        </is>
      </c>
      <c r="C127" s="12" t="inlineStr">
        <is>
          <t>Regular external validation through red team engagements or third-party assessments focused on detection effectiveness.</t>
        </is>
      </c>
      <c r="D127" s="12" t="inlineStr">
        <is>
          <t>&gt;1 external exercise per year; findings drive detection improvements.</t>
        </is>
      </c>
    </row>
    <row r="128" ht="45" customHeight="1">
      <c r="A128" s="17" t="inlineStr"/>
      <c r="B128" s="37" t="inlineStr">
        <is>
          <t>4 - Managed</t>
        </is>
      </c>
      <c r="C128" s="17" t="inlineStr">
        <is>
          <t>Multiple external validation exercises annually including red team, purple team, and breach simulation. Systematic feedback integration.</t>
        </is>
      </c>
      <c r="D128" s="17" t="inlineStr">
        <is>
          <t>Multiple exercises per year; &gt;70% of findings remediated within 30 days.</t>
        </is>
      </c>
    </row>
    <row r="129" ht="45" customHeight="1">
      <c r="A129" s="12" t="inlineStr"/>
      <c r="B129" s="36" t="inlineStr">
        <is>
          <t>5 - Optimized</t>
        </is>
      </c>
      <c r="C129" s="12" t="inlineStr">
        <is>
          <t>Continuous external validation with automated breach and attack simulation (BAS) tools and regular adversary emulation exercises.</t>
        </is>
      </c>
      <c r="D129" s="12" t="inlineStr">
        <is>
          <t>Continuous BAS; regular adversary emulation; real-time feedback loop.</t>
        </is>
      </c>
    </row>
    <row r="131">
      <c r="A131" s="34" t="inlineStr">
        <is>
          <t>Advanced TTP Coverage</t>
        </is>
      </c>
      <c r="B131" s="35" t="n"/>
      <c r="C131" s="35" t="n"/>
      <c r="D131" s="35" t="n"/>
    </row>
    <row r="132">
      <c r="A132" s="7" t="inlineStr">
        <is>
          <t>Criterion</t>
        </is>
      </c>
      <c r="B132" s="7" t="inlineStr">
        <is>
          <t>Level</t>
        </is>
      </c>
      <c r="C132" s="7" t="inlineStr">
        <is>
          <t>Qualitative Description</t>
        </is>
      </c>
      <c r="D132" s="7" t="inlineStr">
        <is>
          <t>Quantitative Measure</t>
        </is>
      </c>
    </row>
    <row r="133" ht="45" customHeight="1">
      <c r="A133" s="12" t="inlineStr">
        <is>
          <t>Advanced TTP Coverage</t>
        </is>
      </c>
      <c r="B133" s="36" t="inlineStr">
        <is>
          <t>1 - Initial</t>
        </is>
      </c>
      <c r="C133" s="12" t="inlineStr">
        <is>
          <t>No coverage of advanced TTPs. Detections focus only on known signatures and basic indicators.</t>
        </is>
      </c>
      <c r="D133" s="12" t="inlineStr">
        <is>
          <t>Zero advanced TTP detections.</t>
        </is>
      </c>
    </row>
    <row r="134" ht="45" customHeight="1">
      <c r="A134" s="17" t="inlineStr"/>
      <c r="B134" s="37" t="inlineStr">
        <is>
          <t>2 - Repeatable</t>
        </is>
      </c>
      <c r="C134" s="17" t="inlineStr">
        <is>
          <t>Limited coverage of some advanced TTPs, typically 1-3 techniques beyond basic signature detection.</t>
        </is>
      </c>
      <c r="D134" s="17" t="inlineStr">
        <is>
          <t>1-3 advanced TTP detections (e.g., living-off-the-land, fileless).</t>
        </is>
      </c>
    </row>
    <row r="135" ht="45" customHeight="1">
      <c r="A135" s="12" t="inlineStr"/>
      <c r="B135" s="36" t="inlineStr">
        <is>
          <t>3 - Defined</t>
        </is>
      </c>
      <c r="C135" s="12" t="inlineStr">
        <is>
          <t>Growing coverage of advanced TTPs informed by threat intelligence. Behavioral detections supplement signature-based rules.</t>
        </is>
      </c>
      <c r="D135" s="12" t="inlineStr">
        <is>
          <t>3-5 advanced TTP detections; behavioral detection capabilities.</t>
        </is>
      </c>
    </row>
    <row r="136" ht="45" customHeight="1">
      <c r="A136" s="17" t="inlineStr"/>
      <c r="B136" s="37" t="inlineStr">
        <is>
          <t>4 - Managed</t>
        </is>
      </c>
      <c r="C136" s="17" t="inlineStr">
        <is>
          <t>Comprehensive advanced TTP coverage including sophisticated evasion techniques, novel attack chains, and emerging threats.</t>
        </is>
      </c>
      <c r="D136" s="17" t="inlineStr">
        <is>
          <t>5+ advanced TTP detections; coverage of evasion and novel techniques.</t>
        </is>
      </c>
    </row>
    <row r="137" ht="45" customHeight="1">
      <c r="A137" s="12" t="inlineStr"/>
      <c r="B137" s="36" t="inlineStr">
        <is>
          <t>5 - Optimized</t>
        </is>
      </c>
      <c r="C137" s="12" t="inlineStr">
        <is>
          <t>Continuous, proactive advanced TTP coverage using AI/ML for anomaly detection and automated response to emerging TTPs.</t>
        </is>
      </c>
      <c r="D137" s="12" t="inlineStr">
        <is>
          <t>Real-time advanced TTP detection; AI/ML-assisted; automated emerging threat coverage.</t>
        </is>
      </c>
    </row>
    <row r="139" ht="30" customHeight="1">
      <c r="A139" s="32" t="inlineStr">
        <is>
          <t>Expert</t>
        </is>
      </c>
      <c r="B139" s="9" t="n"/>
      <c r="C139" s="9" t="n"/>
      <c r="D139" s="9" t="n"/>
    </row>
    <row r="140">
      <c r="A140" s="33" t="inlineStr">
        <is>
          <t>Features proactive threat hunting, advanced automation, AI/LLM integration, and continuous improvement across the detection lifecycle.</t>
        </is>
      </c>
    </row>
    <row r="141">
      <c r="A141" s="34" t="inlineStr">
        <is>
          <t>Threat Hunting in Telemetry</t>
        </is>
      </c>
      <c r="B141" s="35" t="n"/>
      <c r="C141" s="35" t="n"/>
      <c r="D141" s="35" t="n"/>
    </row>
    <row r="142">
      <c r="A142" s="7" t="inlineStr">
        <is>
          <t>Criterion</t>
        </is>
      </c>
      <c r="B142" s="7" t="inlineStr">
        <is>
          <t>Level</t>
        </is>
      </c>
      <c r="C142" s="7" t="inlineStr">
        <is>
          <t>Qualitative Description</t>
        </is>
      </c>
      <c r="D142" s="7" t="inlineStr">
        <is>
          <t>Quantitative Measure</t>
        </is>
      </c>
    </row>
    <row r="143" ht="45" customHeight="1">
      <c r="A143" s="12" t="inlineStr">
        <is>
          <t>Threat Hunting in Telemetry</t>
        </is>
      </c>
      <c r="B143" s="36" t="inlineStr">
        <is>
          <t>1 - Initial</t>
        </is>
      </c>
      <c r="C143" s="12" t="inlineStr">
        <is>
          <t>No proactive threat hunting activities. All detection is passive through deployed rules.</t>
        </is>
      </c>
      <c r="D143" s="12" t="inlineStr">
        <is>
          <t>Zero hunting activities.</t>
        </is>
      </c>
    </row>
    <row r="144" ht="45" customHeight="1">
      <c r="A144" s="17" t="inlineStr"/>
      <c r="B144" s="37" t="inlineStr">
        <is>
          <t>2 - Repeatable</t>
        </is>
      </c>
      <c r="C144" s="17" t="inlineStr">
        <is>
          <t>Occasional ad hoc hunting triggered by intelligence or incidents. Findings are not systematically converted to detections.</t>
        </is>
      </c>
      <c r="D144" s="17" t="inlineStr">
        <is>
          <t>Bi-weekly hunting activities; &lt;30% of findings converted to rules.</t>
        </is>
      </c>
    </row>
    <row r="145" ht="45" customHeight="1">
      <c r="A145" s="12" t="inlineStr"/>
      <c r="B145" s="36" t="inlineStr">
        <is>
          <t>3 - Defined</t>
        </is>
      </c>
      <c r="C145" s="12" t="inlineStr">
        <is>
          <t>Regular structured hunting program with hypotheses driven by intelligence. Findings are documented and fed into detection development.</t>
        </is>
      </c>
      <c r="D145" s="12" t="inlineStr">
        <is>
          <t>Weekly hunting; 50-70% of findings integrated into detection rules.</t>
        </is>
      </c>
    </row>
    <row r="146" ht="45" customHeight="1">
      <c r="A146" s="17" t="inlineStr"/>
      <c r="B146" s="37" t="inlineStr">
        <is>
          <t>4 - Managed</t>
        </is>
      </c>
      <c r="C146" s="17" t="inlineStr">
        <is>
          <t>Comprehensive hunting program with daily activities, advanced analytics, and systematic integration of findings into detections.</t>
        </is>
      </c>
      <c r="D146" s="17" t="inlineStr">
        <is>
          <t>Daily hunting; &gt;90% of findings integrated; advanced analytics used.</t>
        </is>
      </c>
    </row>
    <row r="147" ht="45" customHeight="1">
      <c r="A147" s="12" t="inlineStr"/>
      <c r="B147" s="36" t="inlineStr">
        <is>
          <t>5 - Optimized</t>
        </is>
      </c>
      <c r="C147" s="12" t="inlineStr">
        <is>
          <t>Automated real-time hunting augmented by AI/ML. Hunting outputs automatically generate detection rule candidates.</t>
        </is>
      </c>
      <c r="D147" s="12" t="inlineStr">
        <is>
          <t>Real-time automated hunting; AI-assisted hypothesis generation.</t>
        </is>
      </c>
    </row>
    <row r="149">
      <c r="A149" s="34" t="inlineStr">
        <is>
          <t>Automation and Continuous Improvement</t>
        </is>
      </c>
      <c r="B149" s="35" t="n"/>
      <c r="C149" s="35" t="n"/>
      <c r="D149" s="35" t="n"/>
    </row>
    <row r="150">
      <c r="A150" s="7" t="inlineStr">
        <is>
          <t>Criterion</t>
        </is>
      </c>
      <c r="B150" s="7" t="inlineStr">
        <is>
          <t>Level</t>
        </is>
      </c>
      <c r="C150" s="7" t="inlineStr">
        <is>
          <t>Qualitative Description</t>
        </is>
      </c>
      <c r="D150" s="7" t="inlineStr">
        <is>
          <t>Quantitative Measure</t>
        </is>
      </c>
    </row>
    <row r="151" ht="45" customHeight="1">
      <c r="A151" s="12" t="inlineStr">
        <is>
          <t>Automation and Continuous Improvement</t>
        </is>
      </c>
      <c r="B151" s="36" t="inlineStr">
        <is>
          <t>1 - Initial</t>
        </is>
      </c>
      <c r="C151" s="12" t="inlineStr">
        <is>
          <t>No automation of detection engineering tasks. All processes are manual and time-consuming.</t>
        </is>
      </c>
      <c r="D151" s="12" t="inlineStr">
        <is>
          <t>Zero automation of detection engineering tasks.</t>
        </is>
      </c>
    </row>
    <row r="152" ht="45" customHeight="1">
      <c r="A152" s="17" t="inlineStr"/>
      <c r="B152" s="37" t="inlineStr">
        <is>
          <t>2 - Repeatable</t>
        </is>
      </c>
      <c r="C152" s="17" t="inlineStr">
        <is>
          <t>Basic automation of some repetitive tasks (e.g., rule deployment scripts). Mostly manual processes remain.</t>
        </is>
      </c>
      <c r="D152" s="17" t="inlineStr">
        <is>
          <t>&lt;30% of routine tasks automated.</t>
        </is>
      </c>
    </row>
    <row r="153" ht="45" customHeight="1">
      <c r="A153" s="12" t="inlineStr"/>
      <c r="B153" s="36" t="inlineStr">
        <is>
          <t>3 - Defined</t>
        </is>
      </c>
      <c r="C153" s="12" t="inlineStr">
        <is>
          <t>Significant automation of rule lifecycle tasks including testing, deployment, and basic tuning. AI-based quality checks on new rules. Continuous improvement processes defined.</t>
        </is>
      </c>
      <c r="D153" s="12" t="inlineStr">
        <is>
          <t>40-60% of tasks automated; AI quality checks on new rules; improvement metrics tracked.</t>
        </is>
      </c>
    </row>
    <row r="154" ht="45" customHeight="1">
      <c r="A154" s="17" t="inlineStr"/>
      <c r="B154" s="37" t="inlineStr">
        <is>
          <t>4 - Managed</t>
        </is>
      </c>
      <c r="C154" s="17" t="inlineStr">
        <is>
          <t>Advanced automation covering most of the detection lifecycle. AI/LLM tools used for rule optimization and analysis.</t>
        </is>
      </c>
      <c r="D154" s="17" t="inlineStr">
        <is>
          <t>70-80% automated; AI/LLM tools in use for optimization.</t>
        </is>
      </c>
    </row>
    <row r="155" ht="45" customHeight="1">
      <c r="A155" s="12" t="inlineStr"/>
      <c r="B155" s="36" t="inlineStr">
        <is>
          <t>5 - Optimized</t>
        </is>
      </c>
      <c r="C155" s="12" t="inlineStr">
        <is>
          <t>Full generative AI/LLM integration throughout the detection lifecycle. Automated rule generation, tuning, and retirement.</t>
        </is>
      </c>
      <c r="D155" s="12" t="inlineStr">
        <is>
          <t>&gt;90% automated; 40%+ FP reduction via AI; full lifecycle AI integration.</t>
        </is>
      </c>
    </row>
    <row r="157" ht="30" customHeight="1">
      <c r="A157" s="32" t="inlineStr">
        <is>
          <t>Enrichment: People &amp; Organization</t>
        </is>
      </c>
      <c r="B157" s="9" t="n"/>
      <c r="C157" s="9" t="n"/>
      <c r="D157" s="9" t="n"/>
    </row>
    <row r="158">
      <c r="A158" s="33" t="inlineStr">
        <is>
          <t>Assesses the human and organizational factors that enable effective detection engineering, drawn from Kyle Bailey's Detection Engineering Maturity Matrix.</t>
        </is>
      </c>
    </row>
    <row r="159">
      <c r="A159" s="34" t="inlineStr">
        <is>
          <t>Team Structure and Dedicated Roles</t>
        </is>
      </c>
      <c r="B159" s="35" t="n"/>
      <c r="C159" s="35" t="n"/>
      <c r="D159" s="35" t="n"/>
    </row>
    <row r="160">
      <c r="A160" s="7" t="inlineStr">
        <is>
          <t>Criterion</t>
        </is>
      </c>
      <c r="B160" s="7" t="inlineStr">
        <is>
          <t>Level</t>
        </is>
      </c>
      <c r="C160" s="7" t="inlineStr">
        <is>
          <t>Qualitative Description</t>
        </is>
      </c>
      <c r="D160" s="7" t="inlineStr">
        <is>
          <t>Quantitative Measure</t>
        </is>
      </c>
    </row>
    <row r="161" ht="45" customHeight="1">
      <c r="A161" s="12" t="inlineStr">
        <is>
          <t>Team Structure and Dedicated Roles</t>
        </is>
      </c>
      <c r="B161" s="36" t="inlineStr">
        <is>
          <t>1 - Initial</t>
        </is>
      </c>
      <c r="C161" s="12" t="inlineStr">
        <is>
          <t>No dedicated detection engineering roles. Detection work is done part-time by SOC analysts or other security staff as a side task.</t>
        </is>
      </c>
      <c r="D161" s="12" t="inlineStr">
        <is>
          <t>Zero dedicated detection engineering FTEs.</t>
        </is>
      </c>
    </row>
    <row r="162" ht="45" customHeight="1">
      <c r="A162" s="17" t="inlineStr"/>
      <c r="B162" s="37" t="inlineStr">
        <is>
          <t>2 - Repeatable</t>
        </is>
      </c>
      <c r="C162" s="17" t="inlineStr">
        <is>
          <t>One or more staff have detection engineering as a partial responsibility. No formal team structure or career path.</t>
        </is>
      </c>
      <c r="D162" s="17" t="inlineStr">
        <is>
          <t>Part-time detection engineering; no dedicated team.</t>
        </is>
      </c>
    </row>
    <row r="163" ht="45" customHeight="1">
      <c r="A163" s="12" t="inlineStr"/>
      <c r="B163" s="36" t="inlineStr">
        <is>
          <t>3 - Defined</t>
        </is>
      </c>
      <c r="C163" s="12" t="inlineStr">
        <is>
          <t>Dedicated detection engineering role(s) or team established. Clear responsibilities and basic career progression defined.</t>
        </is>
      </c>
      <c r="D163" s="12" t="inlineStr">
        <is>
          <t>At least 1 dedicated FTE; defined role and responsibilities.</t>
        </is>
      </c>
    </row>
    <row r="164" ht="45" customHeight="1">
      <c r="A164" s="17" t="inlineStr"/>
      <c r="B164" s="37" t="inlineStr">
        <is>
          <t>4 - Managed</t>
        </is>
      </c>
      <c r="C164" s="17" t="inlineStr">
        <is>
          <t>Established detection engineering team with subject matter experts across key domains (host, network, cloud, application).</t>
        </is>
      </c>
      <c r="D164" s="17" t="inlineStr">
        <is>
          <t>Multi-person team with domain specialization; defined career ladder.</t>
        </is>
      </c>
    </row>
    <row r="165" ht="45" customHeight="1">
      <c r="A165" s="12" t="inlineStr"/>
      <c r="B165" s="36" t="inlineStr">
        <is>
          <t>5 - Optimized</t>
        </is>
      </c>
      <c r="C165" s="12" t="inlineStr">
        <is>
          <t>Mature team with deep specialization, mentorship programs, and influence on organizational security strategy.</t>
        </is>
      </c>
      <c r="D165" s="12" t="inlineStr">
        <is>
          <t>Full team with domain experts; mentorship program; strategic influence.</t>
        </is>
      </c>
    </row>
    <row r="167">
      <c r="A167" s="34" t="inlineStr">
        <is>
          <t>Skills Development and Training</t>
        </is>
      </c>
      <c r="B167" s="35" t="n"/>
      <c r="C167" s="35" t="n"/>
      <c r="D167" s="35" t="n"/>
    </row>
    <row r="168">
      <c r="A168" s="7" t="inlineStr">
        <is>
          <t>Criterion</t>
        </is>
      </c>
      <c r="B168" s="7" t="inlineStr">
        <is>
          <t>Level</t>
        </is>
      </c>
      <c r="C168" s="7" t="inlineStr">
        <is>
          <t>Qualitative Description</t>
        </is>
      </c>
      <c r="D168" s="7" t="inlineStr">
        <is>
          <t>Quantitative Measure</t>
        </is>
      </c>
    </row>
    <row r="169" ht="45" customHeight="1">
      <c r="A169" s="12" t="inlineStr">
        <is>
          <t>Skills Development and Training</t>
        </is>
      </c>
      <c r="B169" s="36" t="inlineStr">
        <is>
          <t>1 - Initial</t>
        </is>
      </c>
      <c r="C169" s="12" t="inlineStr">
        <is>
          <t>No formal training or skills development for detection engineering. Learning is self-directed with no organizational support.</t>
        </is>
      </c>
      <c r="D169" s="12" t="inlineStr">
        <is>
          <t>Zero training budget or programs for detection engineering.</t>
        </is>
      </c>
    </row>
    <row r="170" ht="45" customHeight="1">
      <c r="A170" s="17" t="inlineStr"/>
      <c r="B170" s="37" t="inlineStr">
        <is>
          <t>2 - Repeatable</t>
        </is>
      </c>
      <c r="C170" s="17" t="inlineStr">
        <is>
          <t>Some ad hoc training available. Individuals may attend conferences or take courses, but there is no structured program.</t>
        </is>
      </c>
      <c r="D170" s="17" t="inlineStr">
        <is>
          <t>Occasional training; no structured development program.</t>
        </is>
      </c>
    </row>
    <row r="171" ht="45" customHeight="1">
      <c r="A171" s="12" t="inlineStr"/>
      <c r="B171" s="36" t="inlineStr">
        <is>
          <t>3 - Defined</t>
        </is>
      </c>
      <c r="C171" s="12" t="inlineStr">
        <is>
          <t>Defined training program covering core detection engineering skills. Regular knowledge sharing sessions within the team.</t>
        </is>
      </c>
      <c r="D171" s="12" t="inlineStr">
        <is>
          <t>Annual training plan; regular knowledge sharing; defined skill requirements.</t>
        </is>
      </c>
    </row>
    <row r="172" ht="45" customHeight="1">
      <c r="A172" s="17" t="inlineStr"/>
      <c r="B172" s="37" t="inlineStr">
        <is>
          <t>4 - Managed</t>
        </is>
      </c>
      <c r="C172" s="17" t="inlineStr">
        <is>
          <t>Comprehensive training covering advanced topics. Cross-training with related teams (IR, threat intel, engineering). Certifications supported.</t>
        </is>
      </c>
      <c r="D172" s="17" t="inlineStr">
        <is>
          <t>Advanced training program; cross-training; certification support.</t>
        </is>
      </c>
    </row>
    <row r="173" ht="45" customHeight="1">
      <c r="A173" s="12" t="inlineStr"/>
      <c r="B173" s="36" t="inlineStr">
        <is>
          <t>5 - Optimized</t>
        </is>
      </c>
      <c r="C173" s="12" t="inlineStr">
        <is>
          <t>Continuous learning culture with advanced training, conference participation, community contribution, and internal research programs.</t>
        </is>
      </c>
      <c r="D173" s="12" t="inlineStr">
        <is>
          <t>Continuous development; community contribution; internal research.</t>
        </is>
      </c>
    </row>
    <row r="175">
      <c r="A175" s="34" t="inlineStr">
        <is>
          <t>Leadership Commitment and Executive Sponsorship</t>
        </is>
      </c>
      <c r="B175" s="35" t="n"/>
      <c r="C175" s="35" t="n"/>
      <c r="D175" s="35" t="n"/>
    </row>
    <row r="176">
      <c r="A176" s="7" t="inlineStr">
        <is>
          <t>Criterion</t>
        </is>
      </c>
      <c r="B176" s="7" t="inlineStr">
        <is>
          <t>Level</t>
        </is>
      </c>
      <c r="C176" s="7" t="inlineStr">
        <is>
          <t>Qualitative Description</t>
        </is>
      </c>
      <c r="D176" s="7" t="inlineStr">
        <is>
          <t>Quantitative Measure</t>
        </is>
      </c>
    </row>
    <row r="177" ht="45" customHeight="1">
      <c r="A177" s="12" t="inlineStr">
        <is>
          <t>Leadership Commitment and Executive Sponsorship</t>
        </is>
      </c>
      <c r="B177" s="36" t="inlineStr">
        <is>
          <t>1 - Initial</t>
        </is>
      </c>
      <c r="C177" s="12" t="inlineStr">
        <is>
          <t>No executive awareness or sponsorship of detection engineering. The function is not recognized as a distinct capability.</t>
        </is>
      </c>
      <c r="D177" s="12" t="inlineStr">
        <is>
          <t>Zero executive engagement with detection engineering.</t>
        </is>
      </c>
    </row>
    <row r="178" ht="45" customHeight="1">
      <c r="A178" s="17" t="inlineStr"/>
      <c r="B178" s="37" t="inlineStr">
        <is>
          <t>2 - Repeatable</t>
        </is>
      </c>
      <c r="C178" s="17" t="inlineStr">
        <is>
          <t>Some leadership awareness of detection engineering but no formal sponsorship or dedicated budget allocation.</t>
        </is>
      </c>
      <c r="D178" s="17" t="inlineStr">
        <is>
          <t>Informal awareness; no dedicated budget.</t>
        </is>
      </c>
    </row>
    <row r="179" ht="45" customHeight="1">
      <c r="A179" s="12" t="inlineStr"/>
      <c r="B179" s="36" t="inlineStr">
        <is>
          <t>3 - Defined</t>
        </is>
      </c>
      <c r="C179" s="12" t="inlineStr">
        <is>
          <t>Executive sponsor identified. Detection engineering has a defined budget and is recognized as a distinct function.</t>
        </is>
      </c>
      <c r="D179" s="12" t="inlineStr">
        <is>
          <t>Dedicated budget; executive sponsor; function formally recognized.</t>
        </is>
      </c>
    </row>
    <row r="180" ht="45" customHeight="1">
      <c r="A180" s="17" t="inlineStr"/>
      <c r="B180" s="37" t="inlineStr">
        <is>
          <t>4 - Managed</t>
        </is>
      </c>
      <c r="C180" s="17" t="inlineStr">
        <is>
          <t>Strong executive support with detection engineering metrics reported to leadership. Function influences security investment decisions.</t>
        </is>
      </c>
      <c r="D180" s="17" t="inlineStr">
        <is>
          <t>Regular executive reporting; metrics-driven investment decisions.</t>
        </is>
      </c>
    </row>
    <row r="181" ht="45" customHeight="1">
      <c r="A181" s="12" t="inlineStr"/>
      <c r="B181" s="36" t="inlineStr">
        <is>
          <t>5 - Optimized</t>
        </is>
      </c>
      <c r="C181" s="12" t="inlineStr">
        <is>
          <t>Detection engineering is a strategic priority. Executive leadership actively champions the function and its value across the organization.</t>
        </is>
      </c>
      <c r="D181" s="12" t="inlineStr">
        <is>
          <t>Strategic priority; board-level visibility; cross-org influence.</t>
        </is>
      </c>
    </row>
    <row r="183" ht="30" customHeight="1">
      <c r="A183" s="32" t="inlineStr">
        <is>
          <t>Enrichment: Process &amp; Governance</t>
        </is>
      </c>
      <c r="B183" s="9" t="n"/>
      <c r="C183" s="9" t="n"/>
      <c r="D183" s="9" t="n"/>
    </row>
    <row r="184">
      <c r="A184" s="33" t="inlineStr">
        <is>
          <t>Assesses the process maturity and governance structures supporting detection engineering, drawn from Kyle Bailey's Detection Engineering Maturity Matrix.</t>
        </is>
      </c>
    </row>
    <row r="185">
      <c r="A185" s="34" t="inlineStr">
        <is>
          <t>Detection Lifecycle Workflow</t>
        </is>
      </c>
      <c r="B185" s="35" t="n"/>
      <c r="C185" s="35" t="n"/>
      <c r="D185" s="35" t="n"/>
    </row>
    <row r="186">
      <c r="A186" s="7" t="inlineStr">
        <is>
          <t>Criterion</t>
        </is>
      </c>
      <c r="B186" s="7" t="inlineStr">
        <is>
          <t>Level</t>
        </is>
      </c>
      <c r="C186" s="7" t="inlineStr">
        <is>
          <t>Qualitative Description</t>
        </is>
      </c>
      <c r="D186" s="7" t="inlineStr">
        <is>
          <t>Quantitative Measure</t>
        </is>
      </c>
    </row>
    <row r="187" ht="45" customHeight="1">
      <c r="A187" s="12" t="inlineStr">
        <is>
          <t>Detection Lifecycle Workflow</t>
        </is>
      </c>
      <c r="B187" s="36" t="inlineStr">
        <is>
          <t>1 - Initial</t>
        </is>
      </c>
      <c r="C187" s="12" t="inlineStr">
        <is>
          <t>No defined detection lifecycle. Detections are created and deployed without a structured workflow from request to retirement.</t>
        </is>
      </c>
      <c r="D187" s="12" t="inlineStr">
        <is>
          <t>No documented lifecycle process.</t>
        </is>
      </c>
    </row>
    <row r="188" ht="45" customHeight="1">
      <c r="A188" s="17" t="inlineStr"/>
      <c r="B188" s="37" t="inlineStr">
        <is>
          <t>2 - Repeatable</t>
        </is>
      </c>
      <c r="C188" s="17" t="inlineStr">
        <is>
          <t>Basic lifecycle exists covering creation and deployment, but lacks formal stages for request, review, testing, or retirement.</t>
        </is>
      </c>
      <c r="D188" s="17" t="inlineStr">
        <is>
          <t>Partial lifecycle; 2-3 stages defined.</t>
        </is>
      </c>
    </row>
    <row r="189" ht="45" customHeight="1">
      <c r="A189" s="12" t="inlineStr"/>
      <c r="B189" s="36" t="inlineStr">
        <is>
          <t>3 - Defined</t>
        </is>
      </c>
      <c r="C189" s="12" t="inlineStr">
        <is>
          <t>Full detection lifecycle defined covering request, development, review, testing, deployment, monitoring, and retirement.</t>
        </is>
      </c>
      <c r="D189" s="12" t="inlineStr">
        <is>
          <t>Full lifecycle documented; all stages defined and followed.</t>
        </is>
      </c>
    </row>
    <row r="190" ht="45" customHeight="1">
      <c r="A190" s="17" t="inlineStr"/>
      <c r="B190" s="37" t="inlineStr">
        <is>
          <t>4 - Managed</t>
        </is>
      </c>
      <c r="C190" s="17" t="inlineStr">
        <is>
          <t>Lifecycle is enforced through tooling and automation. SLAs defined for each stage. Metrics tracked for cycle time and throughput.</t>
        </is>
      </c>
      <c r="D190" s="17" t="inlineStr">
        <is>
          <t>Automated lifecycle enforcement; SLAs defined; cycle time tracked.</t>
        </is>
      </c>
    </row>
    <row r="191" ht="45" customHeight="1">
      <c r="A191" s="12" t="inlineStr"/>
      <c r="B191" s="36" t="inlineStr">
        <is>
          <t>5 - Optimized</t>
        </is>
      </c>
      <c r="C191" s="12" t="inlineStr">
        <is>
          <t>Optimized lifecycle with continuous improvement. Automated stage transitions, predictive analytics for rule retirement.</t>
        </is>
      </c>
      <c r="D191" s="12" t="inlineStr">
        <is>
          <t>Fully automated lifecycle; predictive analytics; continuous optimization.</t>
        </is>
      </c>
    </row>
    <row r="193">
      <c r="A193" s="34" t="inlineStr">
        <is>
          <t>Metrics and KPI Tracking</t>
        </is>
      </c>
      <c r="B193" s="35" t="n"/>
      <c r="C193" s="35" t="n"/>
      <c r="D193" s="35" t="n"/>
    </row>
    <row r="194">
      <c r="A194" s="7" t="inlineStr">
        <is>
          <t>Criterion</t>
        </is>
      </c>
      <c r="B194" s="7" t="inlineStr">
        <is>
          <t>Level</t>
        </is>
      </c>
      <c r="C194" s="7" t="inlineStr">
        <is>
          <t>Qualitative Description</t>
        </is>
      </c>
      <c r="D194" s="7" t="inlineStr">
        <is>
          <t>Quantitative Measure</t>
        </is>
      </c>
    </row>
    <row r="195" ht="45" customHeight="1">
      <c r="A195" s="12" t="inlineStr">
        <is>
          <t>Metrics and KPI Tracking</t>
        </is>
      </c>
      <c r="B195" s="36" t="inlineStr">
        <is>
          <t>1 - Initial</t>
        </is>
      </c>
      <c r="C195" s="12" t="inlineStr">
        <is>
          <t>No metrics tracked for detection engineering performance. Success is anecdotal or unmeasured.</t>
        </is>
      </c>
      <c r="D195" s="12" t="inlineStr">
        <is>
          <t>Zero detection engineering KPIs defined or tracked.</t>
        </is>
      </c>
    </row>
    <row r="196" ht="45" customHeight="1">
      <c r="A196" s="17" t="inlineStr"/>
      <c r="B196" s="37" t="inlineStr">
        <is>
          <t>2 - Repeatable</t>
        </is>
      </c>
      <c r="C196" s="17" t="inlineStr">
        <is>
          <t>Basic metrics tracked informally (e.g., number of rules, alert volume). No formal KPI program or dashboards.</t>
        </is>
      </c>
      <c r="D196" s="17" t="inlineStr">
        <is>
          <t>1-2 basic metrics tracked informally.</t>
        </is>
      </c>
    </row>
    <row r="197" ht="45" customHeight="1">
      <c r="A197" s="12" t="inlineStr"/>
      <c r="B197" s="36" t="inlineStr">
        <is>
          <t>3 - Defined</t>
        </is>
      </c>
      <c r="C197" s="12" t="inlineStr">
        <is>
          <t>Defined KPIs covering key areas (coverage, quality, velocity). Regular reporting to stakeholders with dashboards.</t>
        </is>
      </c>
      <c r="D197" s="12" t="inlineStr">
        <is>
          <t>3-5 KPIs defined; quarterly reporting; dashboards available.</t>
        </is>
      </c>
    </row>
    <row r="198" ht="45" customHeight="1">
      <c r="A198" s="17" t="inlineStr"/>
      <c r="B198" s="37" t="inlineStr">
        <is>
          <t>4 - Managed</t>
        </is>
      </c>
      <c r="C198" s="17" t="inlineStr">
        <is>
          <t>Comprehensive metrics program with automated collection, trending, and correlation. Metrics drive decision-making.</t>
        </is>
      </c>
      <c r="D198" s="17" t="inlineStr">
        <is>
          <t>5+ KPIs; automated collection; metrics-driven decisions.</t>
        </is>
      </c>
    </row>
    <row r="199" ht="45" customHeight="1">
      <c r="A199" s="12" t="inlineStr"/>
      <c r="B199" s="36" t="inlineStr">
        <is>
          <t>5 - Optimized</t>
        </is>
      </c>
      <c r="C199" s="12" t="inlineStr">
        <is>
          <t>Advanced analytics on detection engineering performance. Predictive metrics, benchmarking, and continuous optimization based on data.</t>
        </is>
      </c>
      <c r="D199" s="12" t="inlineStr">
        <is>
          <t>Predictive analytics; benchmarking; data-driven continuous optimization.</t>
        </is>
      </c>
    </row>
    <row r="201">
      <c r="A201" s="34" t="inlineStr">
        <is>
          <t>Cross-Team Collaboration</t>
        </is>
      </c>
      <c r="B201" s="35" t="n"/>
      <c r="C201" s="35" t="n"/>
      <c r="D201" s="35" t="n"/>
    </row>
    <row r="202">
      <c r="A202" s="7" t="inlineStr">
        <is>
          <t>Criterion</t>
        </is>
      </c>
      <c r="B202" s="7" t="inlineStr">
        <is>
          <t>Level</t>
        </is>
      </c>
      <c r="C202" s="7" t="inlineStr">
        <is>
          <t>Qualitative Description</t>
        </is>
      </c>
      <c r="D202" s="7" t="inlineStr">
        <is>
          <t>Quantitative Measure</t>
        </is>
      </c>
    </row>
    <row r="203" ht="45" customHeight="1">
      <c r="A203" s="12" t="inlineStr">
        <is>
          <t>Cross-Team Collaboration</t>
        </is>
      </c>
      <c r="B203" s="36" t="inlineStr">
        <is>
          <t>1 - Initial</t>
        </is>
      </c>
      <c r="C203" s="12" t="inlineStr">
        <is>
          <t>Detection engineering operates in isolation. No structured collaboration with incident response, threat intelligence, or engineering teams.</t>
        </is>
      </c>
      <c r="D203" s="12" t="inlineStr">
        <is>
          <t>Zero structured cross-team interactions.</t>
        </is>
      </c>
    </row>
    <row r="204" ht="45" customHeight="1">
      <c r="A204" s="17" t="inlineStr"/>
      <c r="B204" s="37" t="inlineStr">
        <is>
          <t>2 - Repeatable</t>
        </is>
      </c>
      <c r="C204" s="17" t="inlineStr">
        <is>
          <t>Ad hoc collaboration with other teams, typically reactive to incidents or specific requests.</t>
        </is>
      </c>
      <c r="D204" s="17" t="inlineStr">
        <is>
          <t>Occasional reactive collaboration; no formal processes.</t>
        </is>
      </c>
    </row>
    <row r="205" ht="45" customHeight="1">
      <c r="A205" s="12" t="inlineStr"/>
      <c r="B205" s="36" t="inlineStr">
        <is>
          <t>3 - Defined</t>
        </is>
      </c>
      <c r="C205" s="12" t="inlineStr">
        <is>
          <t>Regular collaboration with IR, threat intel, and engineering teams through defined channels and scheduled touchpoints.</t>
        </is>
      </c>
      <c r="D205" s="12" t="inlineStr">
        <is>
          <t>Regular scheduled touchpoints; defined collaboration channels.</t>
        </is>
      </c>
    </row>
    <row r="206" ht="45" customHeight="1">
      <c r="A206" s="17" t="inlineStr"/>
      <c r="B206" s="37" t="inlineStr">
        <is>
          <t>4 - Managed</t>
        </is>
      </c>
      <c r="C206" s="17" t="inlineStr">
        <is>
          <t>Deep integration with related teams. Joint planning, shared objectives, and integrated workflows (e.g., threat intel feeds directly inform detection priorities).</t>
        </is>
      </c>
      <c r="D206" s="17" t="inlineStr">
        <is>
          <t>Joint planning sessions; shared objectives; integrated workflows.</t>
        </is>
      </c>
    </row>
    <row r="207" ht="45" customHeight="1">
      <c r="A207" s="12" t="inlineStr"/>
      <c r="B207" s="36" t="inlineStr">
        <is>
          <t>5 - Optimized</t>
        </is>
      </c>
      <c r="C207" s="12" t="inlineStr">
        <is>
          <t>Seamless cross-functional collaboration. Detection engineering is embedded in security operations with automated information sharing.</t>
        </is>
      </c>
      <c r="D207" s="12" t="inlineStr">
        <is>
          <t>Fully integrated operations; automated information sharing; shared metrics.</t>
        </is>
      </c>
    </row>
  </sheetData>
  <mergeCells count="39">
    <mergeCell ref="A5:D5"/>
    <mergeCell ref="A141:D141"/>
    <mergeCell ref="A159:D159"/>
    <mergeCell ref="A97:D97"/>
    <mergeCell ref="A184:D184"/>
    <mergeCell ref="A131:D131"/>
    <mergeCell ref="A4:D4"/>
    <mergeCell ref="A38:D38"/>
    <mergeCell ref="A140:D140"/>
    <mergeCell ref="A29:D29"/>
    <mergeCell ref="A63:D63"/>
    <mergeCell ref="A115:D115"/>
    <mergeCell ref="A13:D13"/>
    <mergeCell ref="A114:D114"/>
    <mergeCell ref="A167:D167"/>
    <mergeCell ref="A157:D157"/>
    <mergeCell ref="A39:D39"/>
    <mergeCell ref="A201:D201"/>
    <mergeCell ref="A123:D123"/>
    <mergeCell ref="A1:D1"/>
    <mergeCell ref="A79:D79"/>
    <mergeCell ref="A88:D88"/>
    <mergeCell ref="A87:D87"/>
    <mergeCell ref="A183:D183"/>
    <mergeCell ref="A193:D193"/>
    <mergeCell ref="A37:D37"/>
    <mergeCell ref="A89:D89"/>
    <mergeCell ref="A158:D158"/>
    <mergeCell ref="A105:D105"/>
    <mergeCell ref="A149:D149"/>
    <mergeCell ref="A3:D3"/>
    <mergeCell ref="A21:D21"/>
    <mergeCell ref="A139:D139"/>
    <mergeCell ref="A55:D55"/>
    <mergeCell ref="A113:D113"/>
    <mergeCell ref="A71:D71"/>
    <mergeCell ref="A47:D47"/>
    <mergeCell ref="A175:D175"/>
    <mergeCell ref="A185:D18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2026-02-27T00:11:04Z</dcterms:created>
  <dcterms:modified xsi:type="dcterms:W3CDTF">2026-02-27T00:11:04Z</dcterms:modified>
</cp:coreProperties>
</file>